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Ex2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nmeethayer_2026\Desktop\FIN365 Investment ReportProject\"/>
    </mc:Choice>
  </mc:AlternateContent>
  <xr:revisionPtr revIDLastSave="0" documentId="13_ncr:1_{179CAEE1-5D04-4F0B-B98D-50ACDA7546D8}" xr6:coauthVersionLast="47" xr6:coauthVersionMax="47" xr10:uidLastSave="{00000000-0000-0000-0000-000000000000}"/>
  <bookViews>
    <workbookView xWindow="-120" yWindow="-120" windowWidth="29040" windowHeight="15720" xr2:uid="{54D47558-A0BB-4849-BBC3-894EEB2FFB6F}"/>
  </bookViews>
  <sheets>
    <sheet name="Report Summary" sheetId="1" r:id="rId1"/>
    <sheet name="DCF Model" sheetId="3" r:id="rId2"/>
    <sheet name="Peer &amp; Self Comps" sheetId="4" r:id="rId3"/>
    <sheet name="Financial Analysis" sheetId="6" r:id="rId4"/>
    <sheet name="Important Notes" sheetId="5" r:id="rId5"/>
  </sheets>
  <definedNames>
    <definedName name="_xlchart.v1.0" hidden="1">'DCF Model'!$R$22:$R$24</definedName>
    <definedName name="_xlchart.v1.1" hidden="1">'DCF Model'!$T$22:$T$24</definedName>
    <definedName name="_xlchart.v1.2" hidden="1">'DCF Model'!$R$22:$R$24</definedName>
    <definedName name="_xlchart.v1.3" hidden="1">'Peer &amp; Self Comps'!$H$20:$H$22</definedName>
    <definedName name="_xlchart.v1.4" hidden="1">'Peer &amp; Self Comps'!$J$20:$J$22</definedName>
    <definedName name="_xlchart.v1.5" hidden="1">'DCF Model'!$R$22:$R$24</definedName>
    <definedName name="_xlchart.v1.6" hidden="1">'Peer &amp; Self Comps'!$J$20:$J$22</definedName>
    <definedName name="CIQWBGuid" hidden="1">"2cd8126d-26c3-430c-b7fa-a069e3a1fc62"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41666.7099189815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0" i="4" l="1"/>
  <c r="G23" i="3"/>
  <c r="K27" i="3"/>
  <c r="D5" i="3"/>
  <c r="D14" i="3"/>
  <c r="G6" i="6"/>
  <c r="K51" i="3"/>
  <c r="L51" i="3"/>
  <c r="M51" i="3"/>
  <c r="F21" i="4" l="1"/>
  <c r="F22" i="4"/>
  <c r="F27" i="4"/>
  <c r="F28" i="4"/>
  <c r="G24" i="3"/>
  <c r="G25" i="3"/>
  <c r="G26" i="3"/>
  <c r="G39" i="3" s="1"/>
  <c r="H39" i="3" s="1"/>
  <c r="G27" i="3"/>
  <c r="G28" i="3"/>
  <c r="G42" i="3" s="1"/>
  <c r="G29" i="3"/>
  <c r="C32" i="3"/>
  <c r="E45" i="3"/>
  <c r="F45" i="3"/>
  <c r="D45" i="3"/>
  <c r="G16" i="1"/>
  <c r="G15" i="1"/>
  <c r="G14" i="1"/>
  <c r="J20" i="4"/>
  <c r="D8" i="3"/>
  <c r="O22" i="3" s="1"/>
  <c r="E44" i="3"/>
  <c r="D44" i="3"/>
  <c r="E41" i="3"/>
  <c r="D41" i="3"/>
  <c r="E38" i="3"/>
  <c r="D38" i="3"/>
  <c r="N26" i="1"/>
  <c r="N27" i="1"/>
  <c r="N28" i="1"/>
  <c r="L27" i="1"/>
  <c r="L28" i="1"/>
  <c r="L26" i="1"/>
  <c r="D7" i="3"/>
  <c r="D6" i="3"/>
  <c r="D25" i="4"/>
  <c r="E25" i="4"/>
  <c r="C25" i="4"/>
  <c r="B35" i="4"/>
  <c r="D35" i="4" s="1"/>
  <c r="B33" i="4"/>
  <c r="D23" i="4"/>
  <c r="D24" i="4" s="1"/>
  <c r="E23" i="4"/>
  <c r="E24" i="4" s="1"/>
  <c r="C23" i="4"/>
  <c r="C24" i="4" s="1"/>
  <c r="H13" i="4"/>
  <c r="F13" i="4"/>
  <c r="K26" i="3"/>
  <c r="O23" i="3"/>
  <c r="D51" i="3"/>
  <c r="E51" i="3"/>
  <c r="F51" i="3"/>
  <c r="G51" i="3"/>
  <c r="H51" i="3"/>
  <c r="I51" i="3"/>
  <c r="J51" i="3"/>
  <c r="E46" i="3"/>
  <c r="D46" i="3"/>
  <c r="F43" i="3"/>
  <c r="F44" i="3" s="1"/>
  <c r="F40" i="3"/>
  <c r="F41" i="3" s="1"/>
  <c r="F37" i="3"/>
  <c r="F38" i="3" s="1"/>
  <c r="F34" i="3"/>
  <c r="O24" i="3"/>
  <c r="G44" i="3" l="1"/>
  <c r="H44" i="3" s="1"/>
  <c r="G41" i="3"/>
  <c r="G40" i="3" s="1"/>
  <c r="D49" i="3"/>
  <c r="D50" i="3" s="1"/>
  <c r="D47" i="3"/>
  <c r="E47" i="3"/>
  <c r="G38" i="3"/>
  <c r="H38" i="3" s="1"/>
  <c r="G36" i="3"/>
  <c r="H36" i="3" s="1"/>
  <c r="I36" i="3" s="1"/>
  <c r="T27" i="3"/>
  <c r="I52" i="3"/>
  <c r="K52" i="3"/>
  <c r="L52" i="3"/>
  <c r="M52" i="3"/>
  <c r="F24" i="4"/>
  <c r="F25" i="4"/>
  <c r="F23" i="4"/>
  <c r="O28" i="3"/>
  <c r="T22" i="3" s="1"/>
  <c r="G17" i="1"/>
  <c r="D33" i="4"/>
  <c r="D36" i="4" s="1"/>
  <c r="D37" i="4" s="1"/>
  <c r="D26" i="4"/>
  <c r="D29" i="4" s="1"/>
  <c r="C26" i="4"/>
  <c r="C29" i="4" s="1"/>
  <c r="E35" i="4"/>
  <c r="C35" i="4"/>
  <c r="C33" i="4"/>
  <c r="E33" i="4"/>
  <c r="I39" i="3"/>
  <c r="E26" i="4"/>
  <c r="E29" i="4" s="1"/>
  <c r="H42" i="3"/>
  <c r="E49" i="3"/>
  <c r="E50" i="3" s="1"/>
  <c r="H52" i="3"/>
  <c r="D52" i="3"/>
  <c r="D55" i="3" s="1"/>
  <c r="J52" i="3"/>
  <c r="G52" i="3"/>
  <c r="F52" i="3"/>
  <c r="E52" i="3"/>
  <c r="F46" i="3"/>
  <c r="G34" i="3"/>
  <c r="O25" i="3"/>
  <c r="G43" i="3" l="1"/>
  <c r="O26" i="3"/>
  <c r="O27" i="3"/>
  <c r="H41" i="3"/>
  <c r="H40" i="3" s="1"/>
  <c r="G45" i="3"/>
  <c r="F49" i="3"/>
  <c r="F50" i="3" s="1"/>
  <c r="F47" i="3"/>
  <c r="I41" i="3"/>
  <c r="G37" i="3"/>
  <c r="H43" i="3"/>
  <c r="I44" i="3"/>
  <c r="I38" i="3"/>
  <c r="H37" i="3"/>
  <c r="F33" i="4"/>
  <c r="F35" i="4"/>
  <c r="F26" i="4"/>
  <c r="H45" i="3"/>
  <c r="E36" i="4"/>
  <c r="E37" i="4" s="1"/>
  <c r="E55" i="3"/>
  <c r="C36" i="4"/>
  <c r="C37" i="4" s="1"/>
  <c r="J39" i="3"/>
  <c r="K39" i="3" s="1"/>
  <c r="L39" i="3" s="1"/>
  <c r="M39" i="3" s="1"/>
  <c r="I42" i="3"/>
  <c r="J36" i="3"/>
  <c r="K36" i="3" s="1"/>
  <c r="L36" i="3" s="1"/>
  <c r="M36" i="3" s="1"/>
  <c r="H34" i="3"/>
  <c r="I34" i="3" s="1"/>
  <c r="J34" i="3" s="1"/>
  <c r="K34" i="3" s="1"/>
  <c r="L34" i="3" s="1"/>
  <c r="M34" i="3" s="1"/>
  <c r="F36" i="4" l="1"/>
  <c r="I40" i="3"/>
  <c r="J41" i="3"/>
  <c r="F55" i="3"/>
  <c r="K16" i="3" s="1"/>
  <c r="J44" i="3"/>
  <c r="I43" i="3"/>
  <c r="J38" i="3"/>
  <c r="I37" i="3"/>
  <c r="F29" i="4"/>
  <c r="D15" i="1" s="1"/>
  <c r="J15" i="1" s="1"/>
  <c r="I45" i="3"/>
  <c r="G46" i="3"/>
  <c r="J42" i="3"/>
  <c r="J40" i="3" l="1"/>
  <c r="K41" i="3"/>
  <c r="K44" i="3"/>
  <c r="J43" i="3"/>
  <c r="K38" i="3"/>
  <c r="J37" i="3"/>
  <c r="G49" i="3"/>
  <c r="G50" i="3" s="1"/>
  <c r="G55" i="3" s="1"/>
  <c r="K17" i="3" s="1"/>
  <c r="G47" i="3"/>
  <c r="J45" i="3"/>
  <c r="K42" i="3"/>
  <c r="F37" i="4"/>
  <c r="I46" i="3"/>
  <c r="H46" i="3"/>
  <c r="D16" i="1" l="1"/>
  <c r="J16" i="1" s="1"/>
  <c r="J22" i="4" a="1"/>
  <c r="J22" i="4" s="1"/>
  <c r="J21" i="4" s="1"/>
  <c r="K40" i="3"/>
  <c r="L41" i="3"/>
  <c r="L44" i="3"/>
  <c r="K43" i="3"/>
  <c r="L38" i="3"/>
  <c r="K37" i="3"/>
  <c r="H49" i="3"/>
  <c r="H50" i="3" s="1"/>
  <c r="H55" i="3" s="1"/>
  <c r="K18" i="3" s="1"/>
  <c r="H47" i="3"/>
  <c r="I49" i="3"/>
  <c r="I50" i="3" s="1"/>
  <c r="I55" i="3" s="1"/>
  <c r="K19" i="3" s="1"/>
  <c r="I47" i="3"/>
  <c r="K45" i="3"/>
  <c r="L42" i="3"/>
  <c r="J46" i="3"/>
  <c r="J47" i="3" s="1"/>
  <c r="K46" i="3" l="1"/>
  <c r="K49" i="3" s="1"/>
  <c r="L40" i="3"/>
  <c r="M41" i="3"/>
  <c r="M40" i="3" s="1"/>
  <c r="M44" i="3"/>
  <c r="L43" i="3"/>
  <c r="M38" i="3"/>
  <c r="M37" i="3" s="1"/>
  <c r="L37" i="3"/>
  <c r="L45" i="3"/>
  <c r="M42" i="3"/>
  <c r="M45" i="3" s="1"/>
  <c r="J49" i="3"/>
  <c r="J50" i="3" s="1"/>
  <c r="J55" i="3" s="1"/>
  <c r="K20" i="3" s="1"/>
  <c r="K47" i="3" l="1"/>
  <c r="M43" i="3"/>
  <c r="K50" i="3"/>
  <c r="K55" i="3" s="1"/>
  <c r="K21" i="3" s="1"/>
  <c r="L46" i="3"/>
  <c r="L49" i="3" l="1"/>
  <c r="L50" i="3" s="1"/>
  <c r="L47" i="3"/>
  <c r="M46" i="3"/>
  <c r="K12" i="3" s="1"/>
  <c r="L55" i="3" l="1"/>
  <c r="K22" i="3" s="1"/>
  <c r="M49" i="3"/>
  <c r="M50" i="3" s="1"/>
  <c r="M55" i="3" s="1"/>
  <c r="M47" i="3"/>
  <c r="K11" i="3" l="1"/>
  <c r="K13" i="3" s="1"/>
  <c r="N55" i="3" s="1"/>
  <c r="K24" i="3" s="1"/>
  <c r="K23" i="3"/>
  <c r="K25" i="3" l="1"/>
  <c r="K28" i="3" l="1"/>
  <c r="T24" i="3" s="1"/>
  <c r="T17" i="3" s="1"/>
  <c r="T23" i="3" l="1"/>
  <c r="D14" i="1"/>
  <c r="J14" i="1" s="1"/>
  <c r="J17" i="1" s="1"/>
  <c r="B39" i="1" l="1"/>
  <c r="B37" i="1"/>
  <c r="P15" i="1"/>
  <c r="P16" i="1" s="1"/>
  <c r="Q16" i="1" s="1"/>
  <c r="B3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<sst xmlns="http://schemas.openxmlformats.org/spreadsheetml/2006/main" count="411" uniqueCount="258">
  <si>
    <t>1-Year Valuation Model</t>
  </si>
  <si>
    <t>GE Vernova (NYSE: GEV)</t>
  </si>
  <si>
    <t>Presented by: Manmeet S Hayer</t>
  </si>
  <si>
    <t>Formula/Method</t>
  </si>
  <si>
    <t>Weight in 1-Yr Target Price</t>
  </si>
  <si>
    <t>DCF (FCFF)</t>
  </si>
  <si>
    <t>Peer Comps</t>
  </si>
  <si>
    <t>Self Comps</t>
  </si>
  <si>
    <t>Intrinsic Value</t>
  </si>
  <si>
    <t>Upside</t>
  </si>
  <si>
    <t>Equity Value/Share</t>
  </si>
  <si>
    <t>Market Value</t>
  </si>
  <si>
    <t>Market Value vs Intrinsic Value</t>
  </si>
  <si>
    <t>Enterprise Value</t>
  </si>
  <si>
    <t>Less: Cash</t>
  </si>
  <si>
    <t>Plus: Debt</t>
  </si>
  <si>
    <t>Target Price Upside</t>
  </si>
  <si>
    <t>Market Cap</t>
  </si>
  <si>
    <t>Rate of Return</t>
  </si>
  <si>
    <t>Plus: D&amp;A</t>
  </si>
  <si>
    <t>Less: Cash Taxes</t>
  </si>
  <si>
    <t>EBIT</t>
  </si>
  <si>
    <t>Average</t>
  </si>
  <si>
    <t>EV/EBITDA</t>
  </si>
  <si>
    <t>Time Periods</t>
  </si>
  <si>
    <t>Date</t>
  </si>
  <si>
    <t>Terminal Value</t>
  </si>
  <si>
    <t>Discounted Cash Flow</t>
  </si>
  <si>
    <t>Debt</t>
  </si>
  <si>
    <t>Tax Rate</t>
  </si>
  <si>
    <t>DCF- (FCFF)</t>
  </si>
  <si>
    <t>NA</t>
  </si>
  <si>
    <t>Segments:</t>
  </si>
  <si>
    <t>Power</t>
  </si>
  <si>
    <t>Wind</t>
  </si>
  <si>
    <t>Electrification</t>
  </si>
  <si>
    <t>Revenue</t>
  </si>
  <si>
    <t>EBITDA</t>
  </si>
  <si>
    <t>TOTAL EBITDA</t>
  </si>
  <si>
    <t>MARGIN</t>
  </si>
  <si>
    <t>Bear</t>
  </si>
  <si>
    <t>Neutral</t>
  </si>
  <si>
    <t>Bull</t>
  </si>
  <si>
    <t>POWER:</t>
  </si>
  <si>
    <t>WIND:</t>
  </si>
  <si>
    <t>ELECTRIFICATION:</t>
  </si>
  <si>
    <t>(In Millions of USD)</t>
  </si>
  <si>
    <t>Terminal</t>
  </si>
  <si>
    <t>2025E</t>
  </si>
  <si>
    <t>2026P</t>
  </si>
  <si>
    <t>2027P</t>
  </si>
  <si>
    <t>2028P</t>
  </si>
  <si>
    <t>2029P</t>
  </si>
  <si>
    <t>Change in EBITDA margin</t>
  </si>
  <si>
    <t>Capex (2025-29 Bloomberg yearly est avg)</t>
  </si>
  <si>
    <t>SEGMENT</t>
  </si>
  <si>
    <t>Upside (downside)</t>
  </si>
  <si>
    <t>WACC</t>
  </si>
  <si>
    <t>Less: D&amp;A*</t>
  </si>
  <si>
    <t>Less: Capex*</t>
  </si>
  <si>
    <t>Shares Outstanding (in Millions)</t>
  </si>
  <si>
    <t>Cash (in Million USD)</t>
  </si>
  <si>
    <t>Debt/Equity</t>
  </si>
  <si>
    <t>Debt (In Million USD)</t>
  </si>
  <si>
    <t>Market Value (in Million USD except per share)</t>
  </si>
  <si>
    <t>Exit EV/EBITDA Multiple*</t>
  </si>
  <si>
    <t>EV/Rev</t>
  </si>
  <si>
    <t>Current EV/EBITDA</t>
  </si>
  <si>
    <t>Current EV/Rev</t>
  </si>
  <si>
    <t>Year 2</t>
  </si>
  <si>
    <t>Year 3</t>
  </si>
  <si>
    <t>Year 5</t>
  </si>
  <si>
    <t>FCFF/share (Present Value  Calculation)</t>
  </si>
  <si>
    <t>Sum of Cash Flows</t>
  </si>
  <si>
    <r>
      <t>2024 (</t>
    </r>
    <r>
      <rPr>
        <b/>
        <i/>
        <sz val="11"/>
        <color theme="1"/>
        <rFont val="Calibri"/>
        <family val="2"/>
        <scheme val="minor"/>
      </rPr>
      <t>Entry</t>
    </r>
    <r>
      <rPr>
        <b/>
        <sz val="11"/>
        <color theme="1"/>
        <rFont val="Calibri"/>
        <family val="2"/>
        <scheme val="minor"/>
      </rPr>
      <t>)</t>
    </r>
  </si>
  <si>
    <t>COMPs ANALYSIS</t>
  </si>
  <si>
    <t>Market Data</t>
  </si>
  <si>
    <t>EV</t>
  </si>
  <si>
    <t>Company Name</t>
  </si>
  <si>
    <t>Median</t>
  </si>
  <si>
    <t>Less: Changes in Non-cash WC*</t>
  </si>
  <si>
    <t>FCFF</t>
  </si>
  <si>
    <t>SELECTED</t>
  </si>
  <si>
    <t>Perpetual FCFF Growth Rate</t>
  </si>
  <si>
    <t>TV Method</t>
  </si>
  <si>
    <t>Perpetual Growth</t>
  </si>
  <si>
    <t>Eaton Corp PLC</t>
  </si>
  <si>
    <t>Schneider Electric SE</t>
  </si>
  <si>
    <t>Vertiv Holdings Co</t>
  </si>
  <si>
    <t>Mitsubishi Electric Corp</t>
  </si>
  <si>
    <t>Siemens Energy AG</t>
  </si>
  <si>
    <t>GE Vernova</t>
  </si>
  <si>
    <t>140.08B</t>
  </si>
  <si>
    <t>129.38B</t>
  </si>
  <si>
    <t>154.72B</t>
  </si>
  <si>
    <t>169.12B</t>
  </si>
  <si>
    <t>69.17B</t>
  </si>
  <si>
    <t>70B</t>
  </si>
  <si>
    <t>59.02B</t>
  </si>
  <si>
    <t>56.37B</t>
  </si>
  <si>
    <t>117.1B</t>
  </si>
  <si>
    <t>111.61B</t>
  </si>
  <si>
    <t>156.36B</t>
  </si>
  <si>
    <t>Peer-relative Comps</t>
  </si>
  <si>
    <t>EV/Revenue</t>
  </si>
  <si>
    <t>FY2026 Consensus</t>
  </si>
  <si>
    <t>1-Yr Historical daily premium (%) to Group Average Value</t>
  </si>
  <si>
    <t>EBITDA Margins</t>
  </si>
  <si>
    <t>Revenue FY26</t>
  </si>
  <si>
    <t>Value (in Million USD)</t>
  </si>
  <si>
    <t>EV (via EV/EBITDA)</t>
  </si>
  <si>
    <t>EV (via EV/Rev)</t>
  </si>
  <si>
    <t>Avg EV</t>
  </si>
  <si>
    <t>Cash (FY26 Consensus)</t>
  </si>
  <si>
    <t>Share Price (Range)</t>
  </si>
  <si>
    <t>Terminal EV/EBITDA</t>
  </si>
  <si>
    <t>Perpetual Growth Rate</t>
  </si>
  <si>
    <t>Contribution to Target Price</t>
  </si>
  <si>
    <t>BASED on Historical Premium of FY2026 Peer Median</t>
  </si>
  <si>
    <t>MODEL</t>
  </si>
  <si>
    <t>VALUE</t>
  </si>
  <si>
    <t>METHOD</t>
  </si>
  <si>
    <t>DCF</t>
  </si>
  <si>
    <t>START</t>
  </si>
  <si>
    <t>WIDTH</t>
  </si>
  <si>
    <t>X-value</t>
  </si>
  <si>
    <t>Y-value</t>
  </si>
  <si>
    <t>1 Yr Target Price</t>
  </si>
  <si>
    <t>=(EV + Cash - Debt) / Shares Outstanding</t>
  </si>
  <si>
    <t>Year 4</t>
  </si>
  <si>
    <t>Margin</t>
  </si>
  <si>
    <t>SOTP</t>
  </si>
  <si>
    <t xml:space="preserve">✅ (1) IMPORTANT BULLET POINTS — copy/paste directly into Excel
GE Vernova 1-Yr Target Price Valuation Model: Important Notes
Model Objective
•	Establish a 1-Year Target Price for GE Vernova (NYSE: GEV) using three valuation methods.
•	Integrates scenario analysis (Bear / Neutral / Bull), market sensitivity, and flexible terminal value settings.
________________________________________
Valuation Framework
Three-Model Blend:
1.	DCF (FCFF) – 55% weight
2.	Self-Comps (FY2026 Analyst Projections) – 25%
3.	Peer-Comps (Premium to Peer Multiples) – 20%
Rationale:
•	GEV has unusually strong revenue visibility because of long-dated services, binding contracts, and a ~$120B+ backlog.
•	DCF receives heavier weight due to predictable cash flows and near-zero net debt.
•	Self-comps outweigh peer-comps because GEV regularly trades at a premium to peers due to higher growth + data center exposure.
•	Peer comps anchor the model to market reality using historical premiums to $50B+ market cap industrial peers.
________________________________________
Key Data Sources
•	Bloomberg: Actuals, Analyst Consensus (FY2026 revenue, EBITDA, EV/Rev, EV/EBITDA), WACC inputs, CapEx, D&amp;A, NWC.
•	GEV Investor Relations: Q1–Q3 2025 earnings calls, segment commentary, backlog disclosures, margin guidance.
•	SOTP-style modeling based on segment trends: Power, Wind, Electrification.
________________________________________
DCF (Free Cash Flow to Firm)
•	Built using segment-level revenue growth and EBITDA margin trends through 2029.
•	WACC calculated from FY2024:
o	Near-zero net debt
o	Beta + equity risk premium from Bloomberg
•	FCFF forecast uses:
o	Bloomberg CapEx (2025–2029 avg)
o	Bloomberg NWC changes
o	Bloomberg D&amp;A
•	Terminal Value uses average of:
o	Perpetual growth (1.5–2.5%)
o	Terminal EV/EBITDA (market-based exit multiples)
•	Scenario inputs adjustable on the Report Summary sheet.
________________________________________
Segment Projection Guide
(Used inside DCF sheet)
Power Segment
•	Revenue growth guided by GE management toward mid-single-digit growth through 2029.
•	Margin expansion driven by HA turbine fleet services, rising Decarbonization demand, and higher-margin upgrades.
•	Power EBITDA margin expected to move 10% → 16–20% range through decade.
Wind
•	Guided recovery from negative margins due to
o	price renegotiations,
o	IRA incentives,
o	cost restructuring,
o	more profitable Cypress &amp; Sierra platforms.
•	Margins gradually turn positive (Bloomberg consensus shows EBITDA breakeven → 5–7% by 2028).
Electrification
•	Fastest-growing segment, fueled by:
o	Global grid expansion
o	U.S. infrastructure bill &amp; EU grid modernization
o	Hyperscale data center AC/DC equipment
•	Management repeatedly guided double-digit revenue growth and margin expansion toward 15–18%+.
________________________________________
Self-Comps Methodology
•	Based on FY2026 analyst expectations:
o	Revenue
o	EBITDA
o	EV/Revenue
o	EV/EBITDA
•	EV is projected under Bear/Neutral/Bull based on:
o	Segment adjustments
o	Margin surprises
o	Data center order upside risk
•	Converts EV → equity value using:
o	FY26 net debt (GEV nearly debt-free; $8B cash buffer)
________________________________________
Peer-Comps Methodology
•	Peer group: large-cap industrial &amp; power OEMs &gt;$50B MC.
•	Peer median FY2026 EV/Revenue &amp; EV/EBITDA obtained from Bloomberg.
•	GEV historically trades at a ~63% premium to peer multiples (1-yr daily data).
•	Model applies:
o	Peer median × historical premium
o	Average of EV (Rev-based, EBITDA-based)
________________________________________
Scenario Analysis
•	Bear / Neutral / Bull change:
o	Revenue growth
o	EBITDA margin
o	Segment-level performance
•	Updates all 3 valuation models.
•	DCF terminal value sensitivity built on bottom panel:
o	Perpetual Growth Rate
o	Terminal EV/EBITDA
________________________________________
Backlog Importance
•	$130B+ backlog as of late 2025.
•	Q3 alone added &gt;$6B new orders.
•	Backlog coverage extends revenue visibility through 2029+, justifying higher DCF weighting.
________________________________________
Final Target Price
•	Weighted average of:
o	DCF intrinsic value
o	Self-comps valuation
o	Peer-comps valuation
•	Football field chart illustrates valuation distribution &amp; sensitivity
</t>
  </si>
  <si>
    <t>TOTAL REVENUE</t>
  </si>
  <si>
    <t>Dated: 03-Dec, 2025</t>
  </si>
  <si>
    <t>*DISCLAIMER- Projected values &amp; items taken from official company reports &amp; Bloomberg analyst consensus est.</t>
  </si>
  <si>
    <t>Bullish</t>
  </si>
  <si>
    <t>GE Vernova Inc (GEV US) - By Segment</t>
  </si>
  <si>
    <t>In Millions of USD except Per Share</t>
  </si>
  <si>
    <t>FY 2021</t>
  </si>
  <si>
    <t>FY 2022</t>
  </si>
  <si>
    <t>FY 2023</t>
  </si>
  <si>
    <t>FY 2024</t>
  </si>
  <si>
    <t>12 Months Ending</t>
  </si>
  <si>
    <t>12/31/2021</t>
  </si>
  <si>
    <t>12/31/2022</t>
  </si>
  <si>
    <t>12/31/2023</t>
  </si>
  <si>
    <t>12/31/2024</t>
  </si>
  <si>
    <t xml:space="preserve">  Revenue</t>
  </si>
  <si>
    <t xml:space="preserve">  Assets</t>
  </si>
  <si>
    <t>—</t>
  </si>
  <si>
    <t xml:space="preserve">  Depreciation and Amortization</t>
  </si>
  <si>
    <t xml:space="preserve">  Capital Expenditures</t>
  </si>
  <si>
    <t xml:space="preserve">  Revenue - Supplementary Breakdown</t>
  </si>
  <si>
    <t xml:space="preserve">  Order Backlog</t>
  </si>
  <si>
    <t xml:space="preserve">  Orders Received</t>
  </si>
  <si>
    <t xml:space="preserve">  EBITDA</t>
  </si>
  <si>
    <t xml:space="preserve">  Adjusted EBITDA</t>
  </si>
  <si>
    <t xml:space="preserve">  EBITDA Margin</t>
  </si>
  <si>
    <t xml:space="preserve">  Revenue Including Intersegment Revenue</t>
  </si>
  <si>
    <t xml:space="preserve">  Organic Growth</t>
  </si>
  <si>
    <t>Other</t>
  </si>
  <si>
    <t>Source: Bloomberg</t>
  </si>
  <si>
    <t>Returns</t>
  </si>
  <si>
    <t>Return on Common Equity</t>
  </si>
  <si>
    <t>Return on Assets</t>
  </si>
  <si>
    <t>RETURN_ON_ASSET</t>
  </si>
  <si>
    <t>Return on Invested Capital</t>
  </si>
  <si>
    <t>RETURN_ON_INV_CAPITAL</t>
  </si>
  <si>
    <t>Margins</t>
  </si>
  <si>
    <t>Gross Margin</t>
  </si>
  <si>
    <t>EBITDA Margin</t>
  </si>
  <si>
    <t>EBITDA_TO_REVENUE</t>
  </si>
  <si>
    <t>Operating Margin</t>
  </si>
  <si>
    <t>OPER_MARGIN</t>
  </si>
  <si>
    <t>Incremental Operating Margin</t>
  </si>
  <si>
    <t>INCREMENTAL_OPERATING_MARGIN</t>
  </si>
  <si>
    <t>Pretax Margin</t>
  </si>
  <si>
    <t>PRETAX_INC_TO_NET_SALES</t>
  </si>
  <si>
    <t>Income before XO Margin</t>
  </si>
  <si>
    <t>INC_BEF_XO_ITEMS_TO_NET_SALES</t>
  </si>
  <si>
    <t>Net Income Margin</t>
  </si>
  <si>
    <t>PROF_MARGIN</t>
  </si>
  <si>
    <t>Net Income to Common Margin</t>
  </si>
  <si>
    <t>NET_INCOME_TO_COMMON_MARGIN</t>
  </si>
  <si>
    <t>Additional</t>
  </si>
  <si>
    <t>Effective Tax Rate</t>
  </si>
  <si>
    <t>Dvd Payout Ratio</t>
  </si>
  <si>
    <t>DVD_PAYOUT_RATIO</t>
  </si>
  <si>
    <t>Sustainable Growth Rate</t>
  </si>
  <si>
    <t>SUSTAIN_GROWTH_RT</t>
  </si>
  <si>
    <t>GE Vernova Inc (GEV US) - Profitability %</t>
  </si>
  <si>
    <t>Ticker</t>
  </si>
  <si>
    <t>Name</t>
  </si>
  <si>
    <t>EBITDA Growth (%)</t>
  </si>
  <si>
    <t>Gr PoP of OPM T12M:Y:Y, -1)</t>
  </si>
  <si>
    <t>Net Income Growth (%)</t>
  </si>
  <si>
    <t>Gr PoP of PM T12M:Y:Y, -1)</t>
  </si>
  <si>
    <t>Return on Equity</t>
  </si>
  <si>
    <t>Ast TO:Y</t>
  </si>
  <si>
    <t>Debt/Assets:Y</t>
  </si>
  <si>
    <t>GEV US Equity</t>
  </si>
  <si>
    <t>GE VERNOVA INC</t>
  </si>
  <si>
    <t>ENR GR Equity</t>
  </si>
  <si>
    <t>SIEMENS ENERGY AG</t>
  </si>
  <si>
    <t>ETN US Equity</t>
  </si>
  <si>
    <t>EATON CORP PLC</t>
  </si>
  <si>
    <t>6503 JP Equity</t>
  </si>
  <si>
    <t>MITSUBISHI ELECTRIC CORP</t>
  </si>
  <si>
    <t>VRT US Equity</t>
  </si>
  <si>
    <t>VERTIV HOLDINGS CO-A</t>
  </si>
  <si>
    <t>SU FP Equity</t>
  </si>
  <si>
    <t>SCHNEIDER ELECTRIC SE</t>
  </si>
  <si>
    <t>GE Vernova Inc (GEV US) - DuPont Analysis</t>
  </si>
  <si>
    <t>Tax Burden</t>
  </si>
  <si>
    <t xml:space="preserve">  Net Inc to Comn/Pre-Tax Profit %</t>
  </si>
  <si>
    <t>Interest Burden</t>
  </si>
  <si>
    <t>Asset Turnover</t>
  </si>
  <si>
    <t xml:space="preserve">  Revenue/Avg Assets</t>
  </si>
  <si>
    <t>Leverage Ratio</t>
  </si>
  <si>
    <t xml:space="preserve">  Avg Assets/Avg Equity</t>
  </si>
  <si>
    <t>Adjusted Return on Equity</t>
  </si>
  <si>
    <t>Payout Ratio</t>
  </si>
  <si>
    <t>2030P</t>
  </si>
  <si>
    <t>2031P</t>
  </si>
  <si>
    <t>2032P</t>
  </si>
  <si>
    <t>Year 6</t>
  </si>
  <si>
    <t>Year 7</t>
  </si>
  <si>
    <r>
      <t xml:space="preserve">MARKET SENSITIVITY </t>
    </r>
    <r>
      <rPr>
        <b/>
        <i/>
        <sz val="10"/>
        <color theme="1"/>
        <rFont val="Calibri"/>
        <family val="2"/>
        <scheme val="minor"/>
      </rPr>
      <t>(2025 - 2032)</t>
    </r>
  </si>
  <si>
    <t>Projected Rev $ and EBITDA Margins</t>
  </si>
  <si>
    <t>Year 0 (t=0; 2025)</t>
  </si>
  <si>
    <t>Year 1</t>
  </si>
  <si>
    <t>2026</t>
  </si>
  <si>
    <t>2027</t>
  </si>
  <si>
    <t>2028</t>
  </si>
  <si>
    <t>2029</t>
  </si>
  <si>
    <t>2030</t>
  </si>
  <si>
    <t>2031</t>
  </si>
  <si>
    <t>2032</t>
  </si>
  <si>
    <t xml:space="preserve">Projected Rev </t>
  </si>
  <si>
    <t>12/31/2025</t>
  </si>
  <si>
    <t>Est FY 2025</t>
  </si>
  <si>
    <t>Cost of Equity*</t>
  </si>
  <si>
    <t>Change bps in EBITDA margin</t>
  </si>
  <si>
    <t>Market SENTIMENT</t>
  </si>
  <si>
    <t>166.8B</t>
  </si>
  <si>
    <t>Terminal EV (2033) / share PV</t>
  </si>
  <si>
    <t>Plus: Cash (per share)</t>
  </si>
  <si>
    <t>Less: Debt (per share)</t>
  </si>
  <si>
    <t>Key Values</t>
  </si>
  <si>
    <t>Current Price (as of 12/03/25)</t>
  </si>
  <si>
    <t>Actual/Est as of Q3 FY2025</t>
  </si>
  <si>
    <t>Organic Rev CAGR</t>
  </si>
  <si>
    <t>Market Sensitivity (Projected SELF FY2 comps)</t>
  </si>
  <si>
    <t>LOW (Bear)</t>
  </si>
  <si>
    <t>MID (Neutral)</t>
  </si>
  <si>
    <t>HIGH (Bull)</t>
  </si>
  <si>
    <t>Relative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</si>
</sst>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164" formatCode="_-* #,##0.00_-;\-* #,##0.00_-;_-* &quot;-&quot;??_-;_-@_-"/>
    <numFmt numFmtId="165" formatCode="_-* #,##0_-;\(#,##0\)_-;_-* &quot;-&quot;_-;_-@_-"/>
    <numFmt numFmtId="166" formatCode="_-* #,##0.00_-;\(#,##0.00\)_-;_-* &quot;-&quot;_-;_-@_-"/>
    <numFmt numFmtId="167" formatCode="_(* #,##0_);_(* \(#,##0\);_(* &quot;-&quot;??_);_(@_)"/>
    <numFmt numFmtId="168" formatCode="_-* #,##0_-;\-* #,##0_-;_-* &quot;-&quot;??_-;_-@_-"/>
    <numFmt numFmtId="169" formatCode="0.0\x"/>
    <numFmt numFmtId="170" formatCode="0.0%"/>
    <numFmt numFmtId="171" formatCode="_-* #,##0.0_-;\-* #,##0.0_-;_-* &quot;-&quot;??_-;_-@_-"/>
    <numFmt numFmtId="172" formatCode="#,##0.0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0"/>
      <name val="Calibri"/>
      <family val="2"/>
      <scheme val="minor"/>
    </font>
    <font>
      <sz val="28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i/>
      <sz val="12"/>
      <color theme="1" tint="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4"/>
      <color theme="1" tint="0.499984740745262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1"/>
      <name val="Times New Roman"/>
      <family val="1"/>
    </font>
    <font>
      <b/>
      <sz val="12"/>
      <name val="Times New Roman"/>
      <family val="1"/>
    </font>
    <font>
      <b/>
      <i/>
      <sz val="12"/>
      <color theme="1" tint="0.499984740745262"/>
      <name val="Times New Roman"/>
      <family val="1"/>
    </font>
    <font>
      <sz val="12"/>
      <name val="Times New Roman"/>
      <family val="1"/>
    </font>
    <font>
      <sz val="12"/>
      <name val="Calibri"/>
      <family val="2"/>
      <scheme val="minor"/>
    </font>
    <font>
      <sz val="8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b/>
      <sz val="15"/>
      <name val="Times New Roman"/>
      <family val="1"/>
    </font>
    <font>
      <b/>
      <sz val="15"/>
      <color theme="1"/>
      <name val="Times New Roman"/>
      <family val="1"/>
    </font>
    <font>
      <b/>
      <i/>
      <sz val="10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6"/>
      <color indexed="9"/>
      <name val="Arial"/>
      <family val="2"/>
    </font>
    <font>
      <sz val="10"/>
      <name val="Calibri"/>
      <family val="2"/>
    </font>
    <font>
      <b/>
      <sz val="10"/>
      <color indexed="9"/>
      <name val="Arial"/>
      <family val="2"/>
    </font>
    <font>
      <b/>
      <sz val="10"/>
      <color indexed="8"/>
      <name val="Arial"/>
      <family val="2"/>
    </font>
    <font>
      <sz val="10"/>
      <color indexed="63"/>
      <name val="Arial"/>
      <family val="2"/>
    </font>
    <font>
      <sz val="10"/>
      <color indexed="8"/>
      <name val="Arial"/>
      <family val="2"/>
    </font>
    <font>
      <i/>
      <sz val="10"/>
      <color indexed="8"/>
      <name val="Arial"/>
      <family val="2"/>
    </font>
    <font>
      <b/>
      <sz val="16"/>
      <color rgb="FFFFFFFF"/>
      <name val="Arial"/>
      <family val="2"/>
    </font>
    <font>
      <b/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333333"/>
      <name val="Arial"/>
      <family val="2"/>
    </font>
    <font>
      <sz val="10"/>
      <color rgb="FF000000"/>
      <name val="Arial"/>
      <family val="2"/>
    </font>
    <font>
      <i/>
      <sz val="10"/>
      <color rgb="FF000000"/>
      <name val="Arial"/>
      <family val="2"/>
    </font>
    <font>
      <b/>
      <sz val="9"/>
      <name val="Calibri"/>
      <family val="2"/>
    </font>
    <font>
      <b/>
      <sz val="10"/>
      <name val="Arial"/>
      <family val="2"/>
    </font>
    <font>
      <sz val="9"/>
      <name val="Calibri"/>
      <family val="2"/>
    </font>
    <font>
      <sz val="10"/>
      <name val="Arial"/>
      <family val="2"/>
    </font>
    <font>
      <b/>
      <sz val="11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D942D"/>
        <bgColor rgb="FF000000"/>
      </patternFill>
    </fill>
    <fill>
      <patternFill patternType="solid">
        <fgColor theme="4" tint="0.39997558519241921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F81B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B8C2AD"/>
      </patternFill>
    </fill>
    <fill>
      <patternFill patternType="solid">
        <fgColor rgb="FF9DD2D3"/>
        <bgColor rgb="FFFFFFFF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FFFFFF"/>
      </top>
      <bottom/>
      <diagonal/>
    </border>
    <border>
      <left/>
      <right/>
      <top/>
      <bottom style="thin">
        <color rgb="FFFFFFF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9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10" borderId="20" applyNumberFormat="0" applyProtection="0">
      <alignment horizontal="left" vertical="center" readingOrder="1"/>
    </xf>
    <xf numFmtId="0" fontId="40" fillId="11" borderId="0" applyNumberFormat="0" applyBorder="0" applyProtection="0">
      <alignment horizontal="center"/>
    </xf>
    <xf numFmtId="0" fontId="41" fillId="10" borderId="21">
      <alignment horizontal="left"/>
    </xf>
    <xf numFmtId="0" fontId="41" fillId="10" borderId="21">
      <alignment horizontal="right"/>
    </xf>
    <xf numFmtId="0" fontId="41" fillId="10" borderId="22">
      <alignment horizontal="left"/>
    </xf>
    <xf numFmtId="0" fontId="41" fillId="10" borderId="22">
      <alignment horizontal="right"/>
    </xf>
    <xf numFmtId="0" fontId="42" fillId="11" borderId="1"/>
    <xf numFmtId="3" fontId="42" fillId="11" borderId="23">
      <alignment horizontal="right"/>
    </xf>
    <xf numFmtId="0" fontId="43" fillId="11" borderId="1"/>
    <xf numFmtId="172" fontId="44" fillId="11" borderId="23">
      <alignment horizontal="right"/>
    </xf>
    <xf numFmtId="4" fontId="44" fillId="11" borderId="23">
      <alignment horizontal="right"/>
    </xf>
    <xf numFmtId="0" fontId="45" fillId="12" borderId="2" applyNumberFormat="0" applyAlignment="0" applyProtection="0"/>
    <xf numFmtId="3" fontId="50" fillId="14" borderId="23">
      <alignment horizontal="right"/>
    </xf>
    <xf numFmtId="0" fontId="52" fillId="16" borderId="0">
      <alignment horizontal="center"/>
    </xf>
    <xf numFmtId="0" fontId="54" fillId="0" borderId="0"/>
  </cellStyleXfs>
  <cellXfs count="215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/>
    <xf numFmtId="0" fontId="7" fillId="0" borderId="0" xfId="0" applyFont="1" applyAlignment="1">
      <alignment vertical="center"/>
    </xf>
    <xf numFmtId="0" fontId="9" fillId="0" borderId="0" xfId="0" applyFont="1" applyAlignment="1">
      <alignment vertical="top"/>
    </xf>
    <xf numFmtId="0" fontId="8" fillId="0" borderId="0" xfId="0" applyFont="1" applyAlignment="1"/>
    <xf numFmtId="0" fontId="13" fillId="0" borderId="0" xfId="0" applyFont="1"/>
    <xf numFmtId="0" fontId="15" fillId="0" borderId="0" xfId="0" applyFont="1" applyAlignment="1">
      <alignment vertical="top"/>
    </xf>
    <xf numFmtId="0" fontId="5" fillId="3" borderId="0" xfId="0" applyFont="1" applyFill="1" applyAlignment="1">
      <alignment vertical="center" wrapText="1"/>
    </xf>
    <xf numFmtId="0" fontId="6" fillId="3" borderId="0" xfId="0" applyFont="1" applyFill="1" applyAlignment="1">
      <alignment vertical="center"/>
    </xf>
    <xf numFmtId="0" fontId="0" fillId="3" borderId="0" xfId="0" applyFill="1"/>
    <xf numFmtId="0" fontId="2" fillId="4" borderId="0" xfId="0" applyFont="1" applyFill="1"/>
    <xf numFmtId="165" fontId="1" fillId="4" borderId="0" xfId="3" applyNumberFormat="1" applyFont="1" applyFill="1"/>
    <xf numFmtId="0" fontId="2" fillId="4" borderId="0" xfId="0" applyFont="1" applyFill="1" applyAlignment="1">
      <alignment vertical="center"/>
    </xf>
    <xf numFmtId="165" fontId="1" fillId="4" borderId="0" xfId="3" applyNumberFormat="1" applyFont="1" applyFill="1" applyAlignment="1">
      <alignment horizontal="center"/>
    </xf>
    <xf numFmtId="165" fontId="1" fillId="0" borderId="0" xfId="3" applyNumberFormat="1" applyFont="1"/>
    <xf numFmtId="165" fontId="19" fillId="0" borderId="0" xfId="3" applyNumberFormat="1" applyFont="1"/>
    <xf numFmtId="165" fontId="20" fillId="6" borderId="0" xfId="3" applyNumberFormat="1" applyFont="1" applyFill="1" applyBorder="1"/>
    <xf numFmtId="165" fontId="21" fillId="0" borderId="0" xfId="3" applyNumberFormat="1" applyFont="1" applyBorder="1"/>
    <xf numFmtId="165" fontId="19" fillId="0" borderId="0" xfId="3" applyNumberFormat="1" applyFont="1" applyBorder="1"/>
    <xf numFmtId="9" fontId="19" fillId="0" borderId="0" xfId="2" applyFont="1" applyBorder="1" applyAlignment="1">
      <alignment horizontal="right"/>
    </xf>
    <xf numFmtId="165" fontId="21" fillId="0" borderId="0" xfId="3" applyNumberFormat="1" applyFont="1"/>
    <xf numFmtId="10" fontId="19" fillId="0" borderId="0" xfId="2" applyNumberFormat="1" applyFont="1" applyAlignment="1">
      <alignment horizontal="right"/>
    </xf>
    <xf numFmtId="169" fontId="19" fillId="0" borderId="0" xfId="3" applyNumberFormat="1" applyFont="1" applyAlignment="1">
      <alignment horizontal="right"/>
    </xf>
    <xf numFmtId="164" fontId="19" fillId="0" borderId="0" xfId="3" applyFont="1" applyAlignment="1">
      <alignment horizontal="right"/>
    </xf>
    <xf numFmtId="171" fontId="19" fillId="0" borderId="0" xfId="3" applyNumberFormat="1" applyFont="1" applyAlignment="1">
      <alignment horizontal="right"/>
    </xf>
    <xf numFmtId="164" fontId="19" fillId="0" borderId="0" xfId="3" applyNumberFormat="1" applyFont="1" applyAlignment="1">
      <alignment horizontal="right"/>
    </xf>
    <xf numFmtId="168" fontId="19" fillId="0" borderId="0" xfId="3" applyNumberFormat="1" applyFont="1" applyAlignment="1">
      <alignment horizontal="right"/>
    </xf>
    <xf numFmtId="2" fontId="19" fillId="0" borderId="0" xfId="2" applyNumberFormat="1" applyFont="1" applyAlignment="1">
      <alignment horizontal="right"/>
    </xf>
    <xf numFmtId="165" fontId="4" fillId="6" borderId="0" xfId="3" applyNumberFormat="1" applyFont="1" applyFill="1" applyBorder="1"/>
    <xf numFmtId="165" fontId="1" fillId="6" borderId="0" xfId="3" applyNumberFormat="1" applyFont="1" applyFill="1" applyBorder="1"/>
    <xf numFmtId="0" fontId="4" fillId="6" borderId="0" xfId="3" applyNumberFormat="1" applyFont="1" applyFill="1" applyBorder="1" applyAlignment="1">
      <alignment horizontal="right"/>
    </xf>
    <xf numFmtId="165" fontId="1" fillId="0" borderId="0" xfId="3" applyNumberFormat="1" applyFont="1" applyBorder="1"/>
    <xf numFmtId="14" fontId="23" fillId="0" borderId="0" xfId="3" applyNumberFormat="1" applyFont="1" applyFill="1" applyBorder="1" applyAlignment="1">
      <alignment horizontal="right"/>
    </xf>
    <xf numFmtId="14" fontId="23" fillId="0" borderId="0" xfId="3" applyNumberFormat="1" applyFont="1" applyFill="1" applyBorder="1"/>
    <xf numFmtId="165" fontId="1" fillId="4" borderId="0" xfId="3" applyNumberFormat="1" applyFont="1" applyFill="1" applyBorder="1"/>
    <xf numFmtId="165" fontId="23" fillId="0" borderId="0" xfId="3" applyNumberFormat="1" applyFont="1" applyBorder="1"/>
    <xf numFmtId="1" fontId="23" fillId="0" borderId="0" xfId="3" applyNumberFormat="1" applyFont="1"/>
    <xf numFmtId="14" fontId="23" fillId="0" borderId="0" xfId="3" applyNumberFormat="1" applyFont="1" applyBorder="1" applyAlignment="1">
      <alignment horizontal="right"/>
    </xf>
    <xf numFmtId="167" fontId="1" fillId="0" borderId="0" xfId="3" applyNumberFormat="1" applyFont="1"/>
    <xf numFmtId="0" fontId="4" fillId="4" borderId="0" xfId="3" applyNumberFormat="1" applyFont="1" applyFill="1" applyBorder="1"/>
    <xf numFmtId="14" fontId="23" fillId="0" borderId="0" xfId="3" applyNumberFormat="1" applyFont="1" applyBorder="1"/>
    <xf numFmtId="165" fontId="1" fillId="0" borderId="2" xfId="3" applyNumberFormat="1" applyFont="1" applyBorder="1"/>
    <xf numFmtId="165" fontId="4" fillId="4" borderId="0" xfId="3" applyNumberFormat="1" applyFont="1" applyFill="1" applyBorder="1"/>
    <xf numFmtId="165" fontId="1" fillId="0" borderId="0" xfId="3" applyNumberFormat="1" applyFont="1" applyBorder="1" applyAlignment="1">
      <alignment horizontal="right"/>
    </xf>
    <xf numFmtId="9" fontId="23" fillId="0" borderId="0" xfId="2" applyFont="1" applyBorder="1"/>
    <xf numFmtId="170" fontId="23" fillId="0" borderId="0" xfId="2" applyNumberFormat="1" applyFont="1" applyBorder="1"/>
    <xf numFmtId="165" fontId="4" fillId="6" borderId="4" xfId="3" applyNumberFormat="1" applyFont="1" applyFill="1" applyBorder="1" applyAlignment="1"/>
    <xf numFmtId="165" fontId="4" fillId="6" borderId="4" xfId="3" applyNumberFormat="1" applyFont="1" applyFill="1" applyBorder="1"/>
    <xf numFmtId="9" fontId="1" fillId="0" borderId="0" xfId="2" applyFont="1"/>
    <xf numFmtId="165" fontId="1" fillId="0" borderId="5" xfId="3" applyNumberFormat="1" applyFont="1" applyBorder="1"/>
    <xf numFmtId="165" fontId="4" fillId="0" borderId="3" xfId="3" applyNumberFormat="1" applyFont="1" applyBorder="1" applyAlignment="1">
      <alignment wrapText="1"/>
    </xf>
    <xf numFmtId="170" fontId="1" fillId="0" borderId="3" xfId="2" applyNumberFormat="1" applyFont="1" applyBorder="1"/>
    <xf numFmtId="170" fontId="1" fillId="0" borderId="9" xfId="2" applyNumberFormat="1" applyFont="1" applyBorder="1"/>
    <xf numFmtId="165" fontId="4" fillId="0" borderId="6" xfId="3" applyNumberFormat="1" applyFont="1" applyBorder="1" applyAlignment="1">
      <alignment wrapText="1"/>
    </xf>
    <xf numFmtId="170" fontId="1" fillId="0" borderId="6" xfId="2" applyNumberFormat="1" applyFont="1" applyBorder="1"/>
    <xf numFmtId="170" fontId="1" fillId="0" borderId="14" xfId="2" applyNumberFormat="1" applyFont="1" applyBorder="1"/>
    <xf numFmtId="165" fontId="1" fillId="0" borderId="0" xfId="3" applyNumberFormat="1" applyFont="1" applyAlignment="1"/>
    <xf numFmtId="165" fontId="1" fillId="0" borderId="6" xfId="3" applyNumberFormat="1" applyFont="1" applyBorder="1"/>
    <xf numFmtId="165" fontId="1" fillId="0" borderId="0" xfId="3" applyNumberFormat="1" applyFont="1" applyAlignment="1">
      <alignment horizontal="center"/>
    </xf>
    <xf numFmtId="9" fontId="1" fillId="0" borderId="0" xfId="2" applyFont="1" applyBorder="1"/>
    <xf numFmtId="166" fontId="1" fillId="0" borderId="0" xfId="3" applyNumberFormat="1" applyFont="1"/>
    <xf numFmtId="165" fontId="4" fillId="0" borderId="0" xfId="3" applyNumberFormat="1" applyFont="1" applyBorder="1"/>
    <xf numFmtId="166" fontId="4" fillId="0" borderId="0" xfId="3" applyNumberFormat="1" applyFont="1" applyBorder="1"/>
    <xf numFmtId="165" fontId="4" fillId="0" borderId="0" xfId="3" applyNumberFormat="1" applyFont="1"/>
    <xf numFmtId="166" fontId="4" fillId="0" borderId="0" xfId="3" applyNumberFormat="1" applyFont="1"/>
    <xf numFmtId="0" fontId="0" fillId="0" borderId="0" xfId="0" applyFont="1"/>
    <xf numFmtId="0" fontId="25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3" fontId="19" fillId="0" borderId="0" xfId="0" applyNumberFormat="1" applyFont="1" applyAlignment="1">
      <alignment vertical="center"/>
    </xf>
    <xf numFmtId="0" fontId="26" fillId="7" borderId="0" xfId="0" applyFont="1" applyFill="1" applyAlignment="1">
      <alignment vertical="center"/>
    </xf>
    <xf numFmtId="170" fontId="19" fillId="0" borderId="0" xfId="2" applyNumberFormat="1" applyFont="1" applyAlignment="1">
      <alignment horizontal="right"/>
    </xf>
    <xf numFmtId="165" fontId="4" fillId="0" borderId="2" xfId="3" applyNumberFormat="1" applyFont="1" applyBorder="1"/>
    <xf numFmtId="165" fontId="4" fillId="6" borderId="3" xfId="3" applyNumberFormat="1" applyFont="1" applyFill="1" applyBorder="1"/>
    <xf numFmtId="165" fontId="4" fillId="6" borderId="0" xfId="3" applyNumberFormat="1" applyFont="1" applyFill="1" applyBorder="1" applyAlignment="1">
      <alignment horizontal="right"/>
    </xf>
    <xf numFmtId="0" fontId="26" fillId="0" borderId="0" xfId="0" applyFont="1" applyAlignment="1">
      <alignment vertical="center"/>
    </xf>
    <xf numFmtId="0" fontId="4" fillId="0" borderId="0" xfId="0" applyFont="1"/>
    <xf numFmtId="0" fontId="27" fillId="8" borderId="0" xfId="0" applyFont="1" applyFill="1" applyAlignment="1">
      <alignment vertical="center"/>
    </xf>
    <xf numFmtId="0" fontId="28" fillId="8" borderId="0" xfId="0" applyFont="1" applyFill="1" applyAlignment="1">
      <alignment vertical="center"/>
    </xf>
    <xf numFmtId="0" fontId="27" fillId="8" borderId="0" xfId="0" applyFont="1" applyFill="1" applyAlignment="1">
      <alignment horizontal="right" vertical="center"/>
    </xf>
    <xf numFmtId="0" fontId="28" fillId="8" borderId="15" xfId="0" applyFont="1" applyFill="1" applyBorder="1" applyAlignment="1">
      <alignment horizontal="center" vertical="center"/>
    </xf>
    <xf numFmtId="0" fontId="0" fillId="0" borderId="0" xfId="0" applyFont="1" applyFill="1" applyBorder="1"/>
    <xf numFmtId="2" fontId="0" fillId="0" borderId="0" xfId="0" applyNumberFormat="1" applyFont="1"/>
    <xf numFmtId="0" fontId="10" fillId="0" borderId="0" xfId="0" applyFont="1"/>
    <xf numFmtId="165" fontId="4" fillId="9" borderId="3" xfId="3" applyNumberFormat="1" applyFont="1" applyFill="1" applyBorder="1"/>
    <xf numFmtId="0" fontId="2" fillId="2" borderId="0" xfId="0" applyFont="1" applyFill="1" applyAlignment="1">
      <alignment horizontal="left"/>
    </xf>
    <xf numFmtId="166" fontId="4" fillId="0" borderId="0" xfId="3" applyNumberFormat="1" applyFont="1" applyAlignment="1">
      <alignment horizontal="center"/>
    </xf>
    <xf numFmtId="0" fontId="32" fillId="0" borderId="0" xfId="0" applyFont="1"/>
    <xf numFmtId="2" fontId="3" fillId="0" borderId="3" xfId="2" applyNumberFormat="1" applyFont="1" applyBorder="1"/>
    <xf numFmtId="170" fontId="3" fillId="0" borderId="3" xfId="2" applyNumberFormat="1" applyFon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70" fontId="0" fillId="0" borderId="0" xfId="2" applyNumberFormat="1" applyFont="1"/>
    <xf numFmtId="44" fontId="4" fillId="0" borderId="0" xfId="1" applyFont="1"/>
    <xf numFmtId="10" fontId="4" fillId="0" borderId="0" xfId="2" applyNumberFormat="1" applyFont="1"/>
    <xf numFmtId="10" fontId="38" fillId="0" borderId="0" xfId="2" applyNumberFormat="1" applyFont="1"/>
    <xf numFmtId="165" fontId="38" fillId="0" borderId="0" xfId="3" applyNumberFormat="1" applyFont="1" applyBorder="1" applyAlignment="1">
      <alignment horizontal="right"/>
    </xf>
    <xf numFmtId="165" fontId="23" fillId="0" borderId="0" xfId="3" applyNumberFormat="1" applyFont="1" applyBorder="1" applyAlignment="1">
      <alignment horizontal="right"/>
    </xf>
    <xf numFmtId="0" fontId="26" fillId="7" borderId="0" xfId="0" applyFont="1" applyFill="1" applyAlignment="1">
      <alignment vertical="center" wrapText="1"/>
    </xf>
    <xf numFmtId="0" fontId="28" fillId="8" borderId="0" xfId="0" applyFont="1" applyFill="1" applyAlignment="1">
      <alignment horizontal="center" vertical="center"/>
    </xf>
    <xf numFmtId="0" fontId="28" fillId="8" borderId="0" xfId="0" applyFont="1" applyFill="1" applyBorder="1" applyAlignment="1">
      <alignment horizontal="center" vertical="center"/>
    </xf>
    <xf numFmtId="0" fontId="26" fillId="7" borderId="0" xfId="0" applyFont="1" applyFill="1" applyAlignment="1">
      <alignment horizontal="right" vertical="center"/>
    </xf>
    <xf numFmtId="0" fontId="24" fillId="0" borderId="0" xfId="0" applyFont="1" applyFill="1" applyAlignment="1">
      <alignment vertical="center"/>
    </xf>
    <xf numFmtId="0" fontId="0" fillId="4" borderId="0" xfId="0" applyFont="1" applyFill="1"/>
    <xf numFmtId="0" fontId="4" fillId="4" borderId="0" xfId="0" applyFont="1" applyFill="1"/>
    <xf numFmtId="0" fontId="0" fillId="0" borderId="0" xfId="0" applyAlignment="1">
      <alignment vertical="top" wrapText="1"/>
    </xf>
    <xf numFmtId="2" fontId="23" fillId="0" borderId="0" xfId="2" applyNumberFormat="1" applyFont="1"/>
    <xf numFmtId="165" fontId="1" fillId="0" borderId="0" xfId="3" applyNumberFormat="1" applyFont="1" applyAlignment="1">
      <alignment horizontal="left"/>
    </xf>
    <xf numFmtId="0" fontId="40" fillId="11" borderId="0" xfId="5">
      <alignment horizontal="center"/>
    </xf>
    <xf numFmtId="0" fontId="41" fillId="10" borderId="21" xfId="6">
      <alignment horizontal="left"/>
    </xf>
    <xf numFmtId="0" fontId="41" fillId="10" borderId="21" xfId="7">
      <alignment horizontal="right"/>
    </xf>
    <xf numFmtId="0" fontId="41" fillId="10" borderId="22" xfId="8">
      <alignment horizontal="left"/>
    </xf>
    <xf numFmtId="0" fontId="41" fillId="10" borderId="22" xfId="9">
      <alignment horizontal="right"/>
    </xf>
    <xf numFmtId="3" fontId="42" fillId="11" borderId="23" xfId="11">
      <alignment horizontal="right"/>
    </xf>
    <xf numFmtId="172" fontId="44" fillId="11" borderId="23" xfId="13">
      <alignment horizontal="right"/>
    </xf>
    <xf numFmtId="4" fontId="44" fillId="11" borderId="23" xfId="14">
      <alignment horizontal="right"/>
    </xf>
    <xf numFmtId="0" fontId="45" fillId="12" borderId="2" xfId="15"/>
    <xf numFmtId="0" fontId="40" fillId="14" borderId="0" xfId="5" applyFill="1" applyBorder="1">
      <alignment horizontal="center"/>
    </xf>
    <xf numFmtId="0" fontId="47" fillId="13" borderId="21" xfId="6" applyFont="1" applyFill="1">
      <alignment horizontal="left"/>
    </xf>
    <xf numFmtId="0" fontId="47" fillId="13" borderId="21" xfId="7" applyFont="1" applyFill="1">
      <alignment horizontal="right"/>
    </xf>
    <xf numFmtId="0" fontId="47" fillId="13" borderId="22" xfId="8" applyFont="1" applyFill="1">
      <alignment horizontal="left"/>
    </xf>
    <xf numFmtId="0" fontId="47" fillId="13" borderId="22" xfId="9" applyFont="1" applyFill="1">
      <alignment horizontal="right"/>
    </xf>
    <xf numFmtId="0" fontId="48" fillId="14" borderId="1" xfId="10" applyFont="1" applyFill="1"/>
    <xf numFmtId="3" fontId="48" fillId="14" borderId="23" xfId="11" applyFont="1" applyFill="1">
      <alignment horizontal="right"/>
    </xf>
    <xf numFmtId="0" fontId="49" fillId="14" borderId="1" xfId="12" applyFont="1" applyFill="1"/>
    <xf numFmtId="4" fontId="50" fillId="14" borderId="23" xfId="14" applyFont="1" applyFill="1">
      <alignment horizontal="right"/>
    </xf>
    <xf numFmtId="3" fontId="50" fillId="14" borderId="23" xfId="16">
      <alignment horizontal="right"/>
    </xf>
    <xf numFmtId="0" fontId="51" fillId="15" borderId="2" xfId="15" applyFont="1" applyFill="1"/>
    <xf numFmtId="0" fontId="55" fillId="0" borderId="0" xfId="18" applyFont="1" applyAlignment="1">
      <alignment horizontal="left"/>
    </xf>
    <xf numFmtId="2" fontId="55" fillId="0" borderId="0" xfId="18" applyNumberFormat="1" applyFont="1" applyAlignment="1">
      <alignment horizontal="right"/>
    </xf>
    <xf numFmtId="165" fontId="4" fillId="0" borderId="3" xfId="3" applyNumberFormat="1" applyFont="1" applyBorder="1" applyAlignment="1"/>
    <xf numFmtId="165" fontId="4" fillId="0" borderId="6" xfId="3" applyNumberFormat="1" applyFont="1" applyBorder="1" applyAlignment="1"/>
    <xf numFmtId="165" fontId="4" fillId="6" borderId="7" xfId="3" applyNumberFormat="1" applyFont="1" applyFill="1" applyBorder="1" applyAlignment="1"/>
    <xf numFmtId="165" fontId="4" fillId="6" borderId="8" xfId="3" applyNumberFormat="1" applyFont="1" applyFill="1" applyBorder="1" applyAlignment="1"/>
    <xf numFmtId="49" fontId="4" fillId="6" borderId="8" xfId="3" applyNumberFormat="1" applyFont="1" applyFill="1" applyBorder="1" applyAlignment="1">
      <alignment horizontal="right"/>
    </xf>
    <xf numFmtId="2" fontId="1" fillId="0" borderId="3" xfId="1" applyNumberFormat="1" applyFont="1" applyBorder="1"/>
    <xf numFmtId="2" fontId="44" fillId="11" borderId="23" xfId="13" applyNumberFormat="1">
      <alignment horizontal="right"/>
    </xf>
    <xf numFmtId="2" fontId="23" fillId="0" borderId="0" xfId="3" applyNumberFormat="1" applyFont="1"/>
    <xf numFmtId="10" fontId="3" fillId="0" borderId="0" xfId="2" applyNumberFormat="1" applyFont="1" applyBorder="1"/>
    <xf numFmtId="165" fontId="3" fillId="0" borderId="0" xfId="3" applyNumberFormat="1" applyFont="1"/>
    <xf numFmtId="165" fontId="56" fillId="6" borderId="0" xfId="3" applyNumberFormat="1" applyFont="1" applyFill="1" applyBorder="1" applyAlignment="1">
      <alignment horizontal="center"/>
    </xf>
    <xf numFmtId="10" fontId="0" fillId="0" borderId="0" xfId="2" applyNumberFormat="1" applyFont="1"/>
    <xf numFmtId="0" fontId="4" fillId="0" borderId="0" xfId="0" applyFont="1" applyAlignment="1">
      <alignment horizontal="center" vertical="center" wrapText="1"/>
    </xf>
    <xf numFmtId="2" fontId="0" fillId="0" borderId="1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0" fontId="14" fillId="0" borderId="1" xfId="0" applyNumberFormat="1" applyFont="1" applyBorder="1" applyAlignment="1">
      <alignment horizontal="center" vertical="center"/>
    </xf>
    <xf numFmtId="0" fontId="14" fillId="0" borderId="0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3" fillId="0" borderId="0" xfId="0" applyFont="1" applyAlignment="1">
      <alignment horizontal="center" wrapText="1"/>
    </xf>
    <xf numFmtId="2" fontId="34" fillId="0" borderId="0" xfId="0" applyNumberFormat="1" applyFont="1" applyAlignment="1">
      <alignment horizontal="center"/>
    </xf>
    <xf numFmtId="2" fontId="36" fillId="0" borderId="0" xfId="1" applyNumberFormat="1" applyFont="1" applyAlignment="1">
      <alignment horizontal="center" vertical="center"/>
    </xf>
    <xf numFmtId="9" fontId="35" fillId="0" borderId="0" xfId="0" applyNumberFormat="1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14" fillId="0" borderId="1" xfId="0" applyNumberFormat="1" applyFont="1" applyBorder="1" applyAlignment="1">
      <alignment horizontal="center" vertical="center"/>
    </xf>
    <xf numFmtId="9" fontId="14" fillId="0" borderId="0" xfId="0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2" fontId="14" fillId="0" borderId="1" xfId="0" applyNumberFormat="1" applyFont="1" applyBorder="1" applyAlignment="1">
      <alignment horizontal="center" vertical="center"/>
    </xf>
    <xf numFmtId="2" fontId="14" fillId="0" borderId="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9" fontId="12" fillId="0" borderId="1" xfId="0" applyNumberFormat="1" applyFont="1" applyBorder="1" applyAlignment="1">
      <alignment horizontal="center" vertical="center"/>
    </xf>
    <xf numFmtId="9" fontId="12" fillId="0" borderId="0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1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5" fillId="0" borderId="0" xfId="0" applyFont="1" applyAlignment="1">
      <alignment horizontal="left"/>
    </xf>
    <xf numFmtId="0" fontId="7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165" fontId="1" fillId="0" borderId="0" xfId="3" applyNumberFormat="1" applyFont="1" applyAlignment="1">
      <alignment horizontal="center"/>
    </xf>
    <xf numFmtId="0" fontId="24" fillId="5" borderId="0" xfId="0" applyFont="1" applyFill="1" applyAlignment="1">
      <alignment horizontal="center" vertical="center"/>
    </xf>
    <xf numFmtId="165" fontId="1" fillId="0" borderId="4" xfId="3" applyNumberFormat="1" applyFont="1" applyBorder="1" applyAlignment="1">
      <alignment horizontal="center" vertical="center"/>
    </xf>
    <xf numFmtId="165" fontId="1" fillId="0" borderId="27" xfId="3" applyNumberFormat="1" applyFont="1" applyBorder="1" applyAlignment="1">
      <alignment horizontal="center" vertical="center"/>
    </xf>
    <xf numFmtId="165" fontId="20" fillId="6" borderId="0" xfId="3" applyNumberFormat="1" applyFont="1" applyFill="1" applyBorder="1" applyAlignment="1">
      <alignment horizontal="center"/>
    </xf>
    <xf numFmtId="0" fontId="24" fillId="2" borderId="0" xfId="0" applyFont="1" applyFill="1" applyBorder="1" applyAlignment="1">
      <alignment horizontal="center" vertical="center"/>
    </xf>
    <xf numFmtId="165" fontId="4" fillId="6" borderId="7" xfId="3" applyNumberFormat="1" applyFont="1" applyFill="1" applyBorder="1" applyAlignment="1">
      <alignment horizontal="center"/>
    </xf>
    <xf numFmtId="165" fontId="4" fillId="6" borderId="8" xfId="3" applyNumberFormat="1" applyFont="1" applyFill="1" applyBorder="1" applyAlignment="1">
      <alignment horizontal="center"/>
    </xf>
    <xf numFmtId="165" fontId="4" fillId="6" borderId="9" xfId="3" applyNumberFormat="1" applyFont="1" applyFill="1" applyBorder="1" applyAlignment="1">
      <alignment horizontal="center"/>
    </xf>
    <xf numFmtId="9" fontId="31" fillId="7" borderId="0" xfId="2" applyFont="1" applyFill="1" applyAlignment="1">
      <alignment horizontal="center" vertical="center"/>
    </xf>
    <xf numFmtId="0" fontId="24" fillId="9" borderId="0" xfId="0" applyFont="1" applyFill="1" applyAlignment="1">
      <alignment horizontal="center" vertical="center"/>
    </xf>
    <xf numFmtId="2" fontId="30" fillId="0" borderId="0" xfId="0" applyNumberFormat="1" applyFont="1" applyAlignment="1">
      <alignment horizontal="center" vertical="center"/>
    </xf>
    <xf numFmtId="0" fontId="29" fillId="8" borderId="0" xfId="0" applyFont="1" applyFill="1" applyAlignment="1">
      <alignment horizontal="center" vertical="center"/>
    </xf>
    <xf numFmtId="0" fontId="28" fillId="8" borderId="15" xfId="0" applyFont="1" applyFill="1" applyBorder="1" applyAlignment="1">
      <alignment horizontal="center" vertical="center"/>
    </xf>
    <xf numFmtId="0" fontId="28" fillId="8" borderId="16" xfId="0" applyFont="1" applyFill="1" applyBorder="1" applyAlignment="1">
      <alignment horizontal="center" vertical="center"/>
    </xf>
    <xf numFmtId="0" fontId="23" fillId="0" borderId="0" xfId="0" quotePrefix="1" applyFont="1" applyAlignment="1">
      <alignment horizontal="left"/>
    </xf>
    <xf numFmtId="0" fontId="23" fillId="0" borderId="0" xfId="0" applyFont="1" applyAlignment="1">
      <alignment horizontal="left"/>
    </xf>
    <xf numFmtId="0" fontId="23" fillId="0" borderId="11" xfId="0" applyFont="1" applyBorder="1" applyAlignment="1">
      <alignment horizontal="left"/>
    </xf>
    <xf numFmtId="0" fontId="26" fillId="7" borderId="0" xfId="0" applyFont="1" applyFill="1" applyAlignment="1">
      <alignment horizontal="right" vertical="center" wrapText="1"/>
    </xf>
    <xf numFmtId="165" fontId="4" fillId="9" borderId="7" xfId="3" applyNumberFormat="1" applyFont="1" applyFill="1" applyBorder="1" applyAlignment="1">
      <alignment horizontal="center"/>
    </xf>
    <xf numFmtId="165" fontId="4" fillId="9" borderId="8" xfId="3" applyNumberFormat="1" applyFont="1" applyFill="1" applyBorder="1" applyAlignment="1">
      <alignment horizontal="center"/>
    </xf>
    <xf numFmtId="165" fontId="4" fillId="9" borderId="9" xfId="3" applyNumberFormat="1" applyFont="1" applyFill="1" applyBorder="1" applyAlignment="1">
      <alignment horizontal="center"/>
    </xf>
    <xf numFmtId="2" fontId="31" fillId="0" borderId="0" xfId="0" applyNumberFormat="1" applyFont="1" applyAlignment="1">
      <alignment horizontal="center" vertical="center"/>
    </xf>
    <xf numFmtId="2" fontId="31" fillId="7" borderId="0" xfId="0" applyNumberFormat="1" applyFont="1" applyFill="1" applyAlignment="1">
      <alignment horizontal="center" vertical="center"/>
    </xf>
    <xf numFmtId="0" fontId="49" fillId="14" borderId="1" xfId="12" applyFont="1" applyFill="1" applyAlignment="1">
      <alignment horizontal="center"/>
    </xf>
    <xf numFmtId="0" fontId="49" fillId="14" borderId="26" xfId="12" applyFont="1" applyFill="1" applyBorder="1" applyAlignment="1">
      <alignment horizontal="center"/>
    </xf>
    <xf numFmtId="0" fontId="42" fillId="11" borderId="24" xfId="10" applyBorder="1" applyAlignment="1">
      <alignment horizontal="left"/>
    </xf>
    <xf numFmtId="0" fontId="42" fillId="11" borderId="25" xfId="10" applyBorder="1" applyAlignment="1">
      <alignment horizontal="left"/>
    </xf>
    <xf numFmtId="0" fontId="44" fillId="11" borderId="24" xfId="10" applyFont="1" applyBorder="1" applyAlignment="1">
      <alignment horizontal="left"/>
    </xf>
    <xf numFmtId="0" fontId="44" fillId="11" borderId="25" xfId="10" applyFont="1" applyBorder="1" applyAlignment="1">
      <alignment horizontal="left"/>
    </xf>
    <xf numFmtId="0" fontId="46" fillId="13" borderId="20" xfId="4" applyFont="1" applyFill="1" applyAlignment="1">
      <alignment horizontal="center" vertical="center" readingOrder="1"/>
    </xf>
    <xf numFmtId="0" fontId="39" fillId="10" borderId="20" xfId="4" applyAlignment="1">
      <alignment horizontal="center" vertical="center" readingOrder="1"/>
    </xf>
    <xf numFmtId="0" fontId="0" fillId="0" borderId="0" xfId="0" applyAlignment="1">
      <alignment horizontal="left" vertical="top" wrapText="1"/>
    </xf>
    <xf numFmtId="0" fontId="53" fillId="17" borderId="0" xfId="17" applyFont="1" applyFill="1" applyAlignment="1">
      <alignment horizontal="center" vertical="center" wrapText="1"/>
    </xf>
  </cellXfs>
  <cellStyles count="19">
    <cellStyle name="blp_title_header_row_left" xfId="4" xr:uid="{69906D21-0212-4CC6-B53B-AE2B32675D68}"/>
    <cellStyle name="Comma 2" xfId="3" xr:uid="{A5B164BF-B24F-4640-A3FF-54B65B1B1B9E}"/>
    <cellStyle name="Currency" xfId="1" builtinId="4"/>
    <cellStyle name="defaultsheetstyle" xfId="18" xr:uid="{7450D561-4D23-4863-BB07-BD73139FFC46}"/>
    <cellStyle name="fa_column_header_bottom" xfId="9" xr:uid="{01281D0A-70C2-4C8B-AAE7-73AB6B04C665}"/>
    <cellStyle name="fa_column_header_bottom_left" xfId="8" xr:uid="{E421B444-3CD7-4398-A5DF-AB23ED5AC75E}"/>
    <cellStyle name="fa_column_header_empty" xfId="5" xr:uid="{C85C40F8-2D89-428E-BCDD-44C1F130482F}"/>
    <cellStyle name="fa_column_header_top" xfId="7" xr:uid="{607DBF01-924A-406B-BBD1-AFF577AEBCCC}"/>
    <cellStyle name="fa_column_header_top_left" xfId="6" xr:uid="{DB2BAB3F-A26C-41B6-8816-72C0441423F0}"/>
    <cellStyle name="fa_data_bold_0_grouped" xfId="11" xr:uid="{6A634C73-7D0B-4236-8274-94F31C4758EE}"/>
    <cellStyle name="fa_data_standard_0_grouped" xfId="16" xr:uid="{7430308E-E6FF-46D3-A563-CAE0206FE3A8}"/>
    <cellStyle name="fa_data_standard_1_grouped" xfId="13" xr:uid="{0C1FB7A0-E42C-4C26-B4C0-88985FE6F2D4}"/>
    <cellStyle name="fa_data_standard_2_grouped" xfId="14" xr:uid="{4563FC1A-45A8-4084-922E-49E6E9096036}"/>
    <cellStyle name="fa_footer_italic" xfId="15" xr:uid="{61F15041-6228-46B2-8DF8-39E4FE2D40A2}"/>
    <cellStyle name="fa_row_header_bold" xfId="10" xr:uid="{E24B3C43-7CD2-4D26-802D-37B3587C600E}"/>
    <cellStyle name="fa_row_header_standard" xfId="12" xr:uid="{442DD891-EAA1-4E7D-AF8D-560527AB930E}"/>
    <cellStyle name="Normal" xfId="0" builtinId="0"/>
    <cellStyle name="Percent" xfId="2" builtinId="5"/>
    <cellStyle name="tablesubHeader" xfId="17" xr:uid="{976A34DA-6BD1-4BE6-98BB-7431A1F52817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DD2D3"/>
      <color rgb="FF0066FF"/>
      <color rgb="FF579D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</a:t>
            </a:r>
            <a:r>
              <a:rPr lang="en-US" baseline="0"/>
              <a:t> Yr Target Price Field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862550369434147E-2"/>
          <c:y val="0.13347726403954877"/>
          <c:w val="0.87901248943079635"/>
          <c:h val="0.78303820359970333"/>
        </c:manualLayout>
      </c:layout>
      <c:barChart>
        <c:barDir val="bar"/>
        <c:grouping val="stacked"/>
        <c:varyColors val="0"/>
        <c:ser>
          <c:idx val="3"/>
          <c:order val="1"/>
          <c:tx>
            <c:strRef>
              <c:f>'Report Summary'!$L$25</c:f>
              <c:strCache>
                <c:ptCount val="1"/>
                <c:pt idx="0">
                  <c:v>START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3255716396250747"/>
                  <c:y val="1.5369736524063625E-3"/>
                </c:manualLayout>
              </c:layout>
              <c:showLegendKey val="1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F677-4E12-BA97-44B9E457887A}"/>
                </c:ext>
              </c:extLst>
            </c:dLbl>
            <c:dLbl>
              <c:idx val="1"/>
              <c:layout>
                <c:manualLayout>
                  <c:x val="0.1595184211601155"/>
                  <c:y val="1.4394959723866134E-2"/>
                </c:manualLayout>
              </c:layout>
              <c:showLegendKey val="1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F677-4E12-BA97-44B9E457887A}"/>
                </c:ext>
              </c:extLst>
            </c:dLbl>
            <c:dLbl>
              <c:idx val="2"/>
              <c:layout>
                <c:manualLayout>
                  <c:x val="0.15803766077769926"/>
                  <c:y val="4.6296230702465207E-3"/>
                </c:manualLayout>
              </c:layout>
              <c:showLegendKey val="1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F677-4E12-BA97-44B9E45788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1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'Report Summary'!$B$22:$C$24</c:f>
              <c:strCache>
                <c:ptCount val="3"/>
                <c:pt idx="0">
                  <c:v>DCF</c:v>
                </c:pt>
                <c:pt idx="1">
                  <c:v>Self Comps</c:v>
                </c:pt>
                <c:pt idx="2">
                  <c:v>Peer Comps</c:v>
                </c:pt>
              </c:strCache>
            </c:strRef>
          </c:cat>
          <c:val>
            <c:numRef>
              <c:f>'Report Summary'!$L$26:$L$28</c:f>
              <c:numCache>
                <c:formatCode>0.00</c:formatCode>
                <c:ptCount val="3"/>
                <c:pt idx="0">
                  <c:v>374.47653530090258</c:v>
                </c:pt>
                <c:pt idx="1">
                  <c:v>534.34892805364268</c:v>
                </c:pt>
                <c:pt idx="2">
                  <c:v>506.5761934034071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677-4E12-BA97-44B9E457887A}"/>
            </c:ext>
          </c:extLst>
        </c:ser>
        <c:ser>
          <c:idx val="5"/>
          <c:order val="2"/>
          <c:tx>
            <c:strRef>
              <c:f>'Report Summary'!$N$25</c:f>
              <c:strCache>
                <c:ptCount val="1"/>
                <c:pt idx="0">
                  <c:v>WIDTH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'Report Summary'!$B$22:$C$24</c:f>
              <c:strCache>
                <c:ptCount val="3"/>
                <c:pt idx="0">
                  <c:v>DCF</c:v>
                </c:pt>
                <c:pt idx="1">
                  <c:v>Self Comps</c:v>
                </c:pt>
                <c:pt idx="2">
                  <c:v>Peer Comps</c:v>
                </c:pt>
              </c:strCache>
            </c:strRef>
          </c:cat>
          <c:val>
            <c:numRef>
              <c:f>'Report Summary'!$N$26:$N$28</c:f>
              <c:numCache>
                <c:formatCode>0.00</c:formatCode>
                <c:ptCount val="3"/>
                <c:pt idx="0">
                  <c:v>373.93328316453733</c:v>
                </c:pt>
                <c:pt idx="1">
                  <c:v>174.8803452337803</c:v>
                </c:pt>
                <c:pt idx="2">
                  <c:v>166.55600985864447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677-4E12-BA97-44B9E4578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overlap val="100"/>
        <c:axId val="220548080"/>
        <c:axId val="220548912"/>
      </c:barChart>
      <c:scatterChart>
        <c:scatterStyle val="lineMarker"/>
        <c:varyColors val="0"/>
        <c:ser>
          <c:idx val="1"/>
          <c:order val="0"/>
          <c:tx>
            <c:v>Target Price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'Report Summary'!$B$37:$B$39</c:f>
              <c:numCache>
                <c:formatCode>0.00</c:formatCode>
                <c:ptCount val="3"/>
                <c:pt idx="0">
                  <c:v>636.66154805710494</c:v>
                </c:pt>
                <c:pt idx="1">
                  <c:v>636.66154805710494</c:v>
                </c:pt>
                <c:pt idx="2">
                  <c:v>636.66154805710494</c:v>
                </c:pt>
              </c:numCache>
            </c:numRef>
          </c:xVal>
          <c:yVal>
            <c:numRef>
              <c:f>'Report Summary'!$C$37:$C$39</c:f>
              <c:numCache>
                <c:formatCode>General</c:formatCode>
                <c:ptCount val="3"/>
                <c:pt idx="0">
                  <c:v>0</c:v>
                </c:pt>
                <c:pt idx="1">
                  <c:v>2</c:v>
                </c:pt>
                <c:pt idx="2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F677-4E12-BA97-44B9E4578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602992"/>
        <c:axId val="220598416"/>
      </c:scatterChart>
      <c:catAx>
        <c:axId val="220548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548912"/>
        <c:crosses val="autoZero"/>
        <c:auto val="1"/>
        <c:lblAlgn val="ctr"/>
        <c:lblOffset val="100"/>
        <c:noMultiLvlLbl val="0"/>
      </c:catAx>
      <c:valAx>
        <c:axId val="2205489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548080"/>
        <c:crosses val="autoZero"/>
        <c:crossBetween val="between"/>
      </c:valAx>
      <c:valAx>
        <c:axId val="22059841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20602992"/>
        <c:crosses val="max"/>
        <c:crossBetween val="midCat"/>
      </c:valAx>
      <c:valAx>
        <c:axId val="22060299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20598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r>
              <a:rPr lang="en-US" sz="1200" b="0"/>
              <a:t>Free Cash Flow to Firm (in Million USD)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'DCF Model'!$F$33:$M$33</c:f>
              <c:numCache>
                <c:formatCode>m/d/yyyy</c:formatCode>
                <c:ptCount val="8"/>
                <c:pt idx="0">
                  <c:v>46022</c:v>
                </c:pt>
                <c:pt idx="1">
                  <c:v>46387</c:v>
                </c:pt>
                <c:pt idx="2">
                  <c:v>46752</c:v>
                </c:pt>
                <c:pt idx="3">
                  <c:v>47118</c:v>
                </c:pt>
                <c:pt idx="4">
                  <c:v>47483</c:v>
                </c:pt>
                <c:pt idx="5">
                  <c:v>47848</c:v>
                </c:pt>
                <c:pt idx="6">
                  <c:v>48213</c:v>
                </c:pt>
                <c:pt idx="7">
                  <c:v>48579</c:v>
                </c:pt>
              </c:numCache>
            </c:numRef>
          </c:cat>
          <c:val>
            <c:numRef>
              <c:f>'DCF Model'!$F$55:$M$55</c:f>
              <c:numCache>
                <c:formatCode>_-* #,##0_-;\(#,##0\)_-;_-* "-"_-;_-@_-</c:formatCode>
                <c:ptCount val="8"/>
                <c:pt idx="0">
                  <c:v>2724.4728599999999</c:v>
                </c:pt>
                <c:pt idx="1">
                  <c:v>4377.4062451324999</c:v>
                </c:pt>
                <c:pt idx="2">
                  <c:v>5240.3020237721621</c:v>
                </c:pt>
                <c:pt idx="3">
                  <c:v>7174.5678174879331</c:v>
                </c:pt>
                <c:pt idx="4">
                  <c:v>7727.0191901781209</c:v>
                </c:pt>
                <c:pt idx="5">
                  <c:v>9131.9122475768199</c:v>
                </c:pt>
                <c:pt idx="6">
                  <c:v>9673.8229840425174</c:v>
                </c:pt>
                <c:pt idx="7">
                  <c:v>11581.976763765493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FE-48ED-B335-72B8AEC28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542849320"/>
        <c:axId val="542849648"/>
      </c:barChart>
      <c:dateAx>
        <c:axId val="542849320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542849648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542849648"/>
        <c:scaling>
          <c:orientation val="minMax"/>
        </c:scaling>
        <c:delete val="0"/>
        <c:axPos val="l"/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54284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Open Sans" panose="020B0606030504020204" pitchFamily="34" charset="0"/>
          <a:ea typeface="Open Sans" panose="020B0606030504020204" pitchFamily="34" charset="0"/>
          <a:cs typeface="Open Sans" panose="020B0606030504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Revenue/EBITDA Margin Projections 2025-32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'DCF Model'!$C$36</c:f>
              <c:strCache>
                <c:ptCount val="1"/>
                <c:pt idx="0">
                  <c:v> Revenue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'DCF Model'!$F$33:$M$33</c:f>
              <c:numCache>
                <c:formatCode>m/d/yyyy</c:formatCode>
                <c:ptCount val="8"/>
                <c:pt idx="0">
                  <c:v>46022</c:v>
                </c:pt>
                <c:pt idx="1">
                  <c:v>46387</c:v>
                </c:pt>
                <c:pt idx="2">
                  <c:v>46752</c:v>
                </c:pt>
                <c:pt idx="3">
                  <c:v>47118</c:v>
                </c:pt>
                <c:pt idx="4">
                  <c:v>47483</c:v>
                </c:pt>
                <c:pt idx="5">
                  <c:v>47848</c:v>
                </c:pt>
                <c:pt idx="6">
                  <c:v>48213</c:v>
                </c:pt>
                <c:pt idx="7">
                  <c:v>48579</c:v>
                </c:pt>
              </c:numCache>
            </c:numRef>
          </c:cat>
          <c:val>
            <c:numRef>
              <c:f>'DCF Model'!$F$45:$M$45</c:f>
              <c:numCache>
                <c:formatCode>0.00</c:formatCode>
                <c:ptCount val="8"/>
                <c:pt idx="0">
                  <c:v>37703.5</c:v>
                </c:pt>
                <c:pt idx="1">
                  <c:v>40666.879249999998</c:v>
                </c:pt>
                <c:pt idx="2">
                  <c:v>43890.785081874994</c:v>
                </c:pt>
                <c:pt idx="3">
                  <c:v>47400.075111795304</c:v>
                </c:pt>
                <c:pt idx="4">
                  <c:v>51222.123379098251</c:v>
                </c:pt>
                <c:pt idx="5">
                  <c:v>55387.086353466482</c:v>
                </c:pt>
                <c:pt idx="6">
                  <c:v>59928.197964900726</c:v>
                </c:pt>
                <c:pt idx="7">
                  <c:v>64882.096896266921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8F-4AFA-A66C-8C7866DE7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64251280"/>
        <c:axId val="564252112"/>
      </c:barChart>
      <c:lineChart>
        <c:grouping val="standard"/>
        <c:varyColors val="0"/>
        <c:ser>
          <c:idx val="1"/>
          <c:order val="1"/>
          <c:tx>
            <c:v>EBITDA Margin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'DCF Model'!$F$33:$M$33</c:f>
              <c:numCache>
                <c:formatCode>m/d/yyyy</c:formatCode>
                <c:ptCount val="8"/>
                <c:pt idx="0">
                  <c:v>46022</c:v>
                </c:pt>
                <c:pt idx="1">
                  <c:v>46387</c:v>
                </c:pt>
                <c:pt idx="2">
                  <c:v>46752</c:v>
                </c:pt>
                <c:pt idx="3">
                  <c:v>47118</c:v>
                </c:pt>
                <c:pt idx="4">
                  <c:v>47483</c:v>
                </c:pt>
                <c:pt idx="5">
                  <c:v>47848</c:v>
                </c:pt>
                <c:pt idx="6">
                  <c:v>48213</c:v>
                </c:pt>
                <c:pt idx="7">
                  <c:v>48579</c:v>
                </c:pt>
              </c:numCache>
            </c:numRef>
          </c:cat>
          <c:val>
            <c:numRef>
              <c:f>'DCF Model'!$F$47:$M$47</c:f>
              <c:numCache>
                <c:formatCode>0.00%</c:formatCode>
                <c:ptCount val="8"/>
                <c:pt idx="0">
                  <c:v>9.8593950163777894E-2</c:v>
                </c:pt>
                <c:pt idx="1">
                  <c:v>0.11850682833930513</c:v>
                </c:pt>
                <c:pt idx="2">
                  <c:v>0.13822923793113651</c:v>
                </c:pt>
                <c:pt idx="3">
                  <c:v>0.15776827259240883</c:v>
                </c:pt>
                <c:pt idx="4">
                  <c:v>0.17713122425939171</c:v>
                </c:pt>
                <c:pt idx="5">
                  <c:v>0.19632555227786633</c:v>
                </c:pt>
                <c:pt idx="6">
                  <c:v>0.21535885220207321</c:v>
                </c:pt>
                <c:pt idx="7">
                  <c:v>0.23423882448944236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8F-4AFA-A66C-8C7866DE7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2190048"/>
        <c:axId val="2102196288"/>
      </c:lineChart>
      <c:dateAx>
        <c:axId val="56425128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252112"/>
        <c:crosses val="autoZero"/>
        <c:auto val="1"/>
        <c:lblOffset val="100"/>
        <c:baseTimeUnit val="years"/>
      </c:dateAx>
      <c:valAx>
        <c:axId val="56425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251280"/>
        <c:crosses val="autoZero"/>
        <c:crossBetween val="between"/>
      </c:valAx>
      <c:valAx>
        <c:axId val="210219628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190048"/>
        <c:crosses val="max"/>
        <c:crossBetween val="between"/>
      </c:valAx>
      <c:dateAx>
        <c:axId val="21021900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102196288"/>
        <c:crosses val="autoZero"/>
        <c:auto val="1"/>
        <c:lblOffset val="100"/>
        <c:baseTimeUnit val="years"/>
        <c:majorUnit val="1"/>
        <c:minorUnit val="1"/>
      </c:dateAx>
      <c:spPr>
        <a:noFill/>
        <a:ln>
          <a:noFill/>
        </a:ln>
        <a:effectLst/>
      </c:spPr>
    </c:plotArea>
    <c:legend>
      <c:legendPos val="t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r>
              <a:rPr lang="en-US" sz="12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Market Value vs Intrinsic Value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cx:rich>
      </cx:tx>
    </cx:title>
    <cx:plotArea>
      <cx:plotAreaRegion>
        <cx:plotSurface>
          <cx:spPr>
            <a:noFill/>
            <a:ln>
              <a:noFill/>
            </a:ln>
          </cx:spPr>
        </cx:plotSurface>
        <cx:series layoutId="waterfall" uniqueId="{8DE9D384-90CA-46AD-9838-15A56339DF8B}" formatIdx="1">
          <cx:spPr>
            <a:solidFill>
              <a:schemeClr val="bg2"/>
            </a:solidFill>
          </cx:spPr>
          <cx:dataPt idx="0">
            <cx:spPr>
              <a:solidFill>
                <a:srgbClr val="132E57"/>
              </a:solidFill>
            </cx:spPr>
          </cx:dataPt>
          <cx:dataPt idx="1">
            <cx:spPr>
              <a:solidFill>
                <a:srgbClr val="1E8496"/>
              </a:solidFill>
            </cx:spPr>
          </cx:dataPt>
          <cx:dataPt idx="2">
            <cx:spPr>
              <a:solidFill>
                <a:srgbClr val="ED942D"/>
              </a:solidFill>
            </cx:spPr>
          </cx:dataPt>
          <cx:dataLabels pos="outEnd">
            <cx:numFmt formatCode="$#,##0.00" sourceLinked="0"/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tx1"/>
                    </a:solidFill>
                  </a:defRPr>
                </a:pPr>
                <a:endParaRPr lang="en-US" sz="900" b="0" i="0" u="none" strike="noStrike" baseline="0">
                  <a:solidFill>
                    <a:schemeClr val="tx1"/>
                  </a:solidFill>
                  <a:latin typeface="Calibri" panose="020F0502020204030204"/>
                </a:endParaRPr>
              </a:p>
            </cx:txPr>
            <cx:visibility seriesName="0" categoryName="0" value="1"/>
            <cx:separator>, </cx:separator>
          </cx:dataLabels>
          <cx:dataId val="0"/>
          <cx:layoutPr>
            <cx:subtotals>
              <cx:idx val="2"/>
            </cx:subtotals>
          </cx:layoutPr>
        </cx:series>
      </cx:plotAreaRegion>
      <cx:axis id="0">
        <cx:catScaling gapWidth="0.5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  <cx:axis id="1">
        <cx:valScaling/>
        <cx:tickLabels/>
        <cx:numFmt formatCode="$#,##0.00" sourceLinked="0"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 sz="8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cx:txPr>
      </cx:axis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_xlchart.v1.4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r>
              <a:rPr lang="en-US" sz="1400" b="1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Market Value vs Relative Value</a:t>
            </a:r>
            <a:endParaRPr lang="en-US" sz="16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cx:rich>
      </cx:tx>
    </cx:title>
    <cx:plotArea>
      <cx:plotAreaRegion>
        <cx:plotSurface>
          <cx:spPr>
            <a:solidFill>
              <a:schemeClr val="bg1"/>
            </a:solidFill>
            <a:ln>
              <a:noFill/>
            </a:ln>
          </cx:spPr>
        </cx:plotSurface>
        <cx:series layoutId="waterfall" uniqueId="{8DE9D384-90CA-46AD-9838-15A56339DF8B}" formatIdx="1">
          <cx:spPr>
            <a:solidFill>
              <a:schemeClr val="bg2"/>
            </a:solidFill>
          </cx:spPr>
          <cx:dataPt idx="0">
            <cx:spPr>
              <a:solidFill>
                <a:srgbClr val="132E57"/>
              </a:solidFill>
            </cx:spPr>
          </cx:dataPt>
          <cx:dataPt idx="1">
            <cx:spPr>
              <a:solidFill>
                <a:srgbClr val="1E8496"/>
              </a:solidFill>
            </cx:spPr>
          </cx:dataPt>
          <cx:dataPt idx="2">
            <cx:spPr>
              <a:solidFill>
                <a:srgbClr val="ED942D"/>
              </a:solidFill>
            </cx:spPr>
          </cx:dataPt>
          <cx:dataLabels pos="outEnd">
            <cx:numFmt formatCode="$#,##0.00" sourceLinked="0"/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tx1"/>
                    </a:solidFill>
                  </a:defRPr>
                </a:pPr>
                <a:endParaRPr lang="en-US" sz="900" b="0" i="0" u="none" strike="noStrike" baseline="0">
                  <a:solidFill>
                    <a:schemeClr val="tx1"/>
                  </a:solidFill>
                  <a:latin typeface="Calibri" panose="020F0502020204030204"/>
                </a:endParaRPr>
              </a:p>
            </cx:txPr>
            <cx:visibility seriesName="0" categoryName="0" value="1"/>
            <cx:separator>, </cx:separator>
          </cx:dataLabels>
          <cx:dataId val="0"/>
          <cx:layoutPr>
            <cx:subtotals>
              <cx:idx val="2"/>
            </cx:subtotals>
          </cx:layoutPr>
        </cx:series>
      </cx:plotAreaRegion>
      <cx:axis id="0">
        <cx:catScaling gapWidth="0.5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  <cx:axis id="1">
        <cx:valScaling/>
        <cx:tickLabels/>
        <cx:numFmt formatCode="$#,##0.00" sourceLinked="0"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 sz="8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cx:txPr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microsoft.com/office/2014/relationships/chartEx" Target="../charts/chartEx1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428624</xdr:colOff>
      <xdr:row>7</xdr:row>
      <xdr:rowOff>171451</xdr:rowOff>
    </xdr:to>
    <xdr:pic>
      <xdr:nvPicPr>
        <xdr:cNvPr id="2" name="Picture 1" descr="GEV Q2 2025 Earnings Report on 7/23/2025">
          <a:extLst>
            <a:ext uri="{FF2B5EF4-FFF2-40B4-BE49-F238E27FC236}">
              <a16:creationId xmlns:a16="http://schemas.microsoft.com/office/drawing/2014/main" id="{D026A92D-BAB8-4C5E-95E8-F7D141E2384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5336"/>
        <a:stretch/>
      </xdr:blipFill>
      <xdr:spPr bwMode="auto">
        <a:xfrm>
          <a:off x="0" y="1"/>
          <a:ext cx="1819274" cy="1504950"/>
        </a:xfrm>
        <a:prstGeom prst="rect">
          <a:avLst/>
        </a:prstGeom>
        <a:noFill/>
        <a:ln w="38100">
          <a:solidFill>
            <a:schemeClr val="tx1"/>
          </a:solidFill>
        </a:ln>
        <a:effectLst>
          <a:softEdge rad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152400</xdr:colOff>
      <xdr:row>8</xdr:row>
      <xdr:rowOff>0</xdr:rowOff>
    </xdr:from>
    <xdr:to>
      <xdr:col>10</xdr:col>
      <xdr:colOff>47625</xdr:colOff>
      <xdr:row>8</xdr:row>
      <xdr:rowOff>9526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3FE44961-4307-436C-986F-C6131F0C0180}"/>
            </a:ext>
          </a:extLst>
        </xdr:cNvPr>
        <xdr:cNvCxnSpPr/>
      </xdr:nvCxnSpPr>
      <xdr:spPr>
        <a:xfrm flipV="1">
          <a:off x="152400" y="1524000"/>
          <a:ext cx="5991225" cy="9526"/>
        </a:xfrm>
        <a:prstGeom prst="line">
          <a:avLst/>
        </a:prstGeom>
        <a:ln w="15875">
          <a:solidFill>
            <a:srgbClr val="579D8B"/>
          </a:solidFill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18</xdr:row>
      <xdr:rowOff>0</xdr:rowOff>
    </xdr:from>
    <xdr:to>
      <xdr:col>1</xdr:col>
      <xdr:colOff>200025</xdr:colOff>
      <xdr:row>20</xdr:row>
      <xdr:rowOff>95249</xdr:rowOff>
    </xdr:to>
    <xdr:sp macro="[0]!Fill_LowMidHigh_Table" textlink="">
      <xdr:nvSpPr>
        <xdr:cNvPr id="15" name="Rectangle 14" descr="Click to update price field graph upon changing perpetual growth rate and/or terminal Multiple&#10;">
          <a:extLst>
            <a:ext uri="{FF2B5EF4-FFF2-40B4-BE49-F238E27FC236}">
              <a16:creationId xmlns:a16="http://schemas.microsoft.com/office/drawing/2014/main" id="{8086F757-FCC5-45AD-8165-DB39EC2CD1E2}"/>
            </a:ext>
          </a:extLst>
        </xdr:cNvPr>
        <xdr:cNvSpPr/>
      </xdr:nvSpPr>
      <xdr:spPr>
        <a:xfrm>
          <a:off x="9525" y="3486150"/>
          <a:ext cx="800100" cy="476249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bg1"/>
              </a:solidFill>
            </a:rPr>
            <a:t>Update</a:t>
          </a:r>
          <a:r>
            <a:rPr lang="en-US" sz="1100" b="1" baseline="0">
              <a:solidFill>
                <a:schemeClr val="bg1"/>
              </a:solidFill>
            </a:rPr>
            <a:t> Price Field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71436</xdr:colOff>
      <xdr:row>24</xdr:row>
      <xdr:rowOff>109536</xdr:rowOff>
    </xdr:from>
    <xdr:to>
      <xdr:col>15</xdr:col>
      <xdr:colOff>400050</xdr:colOff>
      <xdr:row>43</xdr:row>
      <xdr:rowOff>19049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D1C6F99F-7701-46CD-9E16-D982B96A3D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0.56658</cdr:x>
      <cdr:y>0.08232</cdr:y>
    </cdr:from>
    <cdr:to>
      <cdr:x>0.64076</cdr:x>
      <cdr:y>0.16329</cdr:y>
    </cdr:to>
    <cdr:sp macro="" textlink="'Report Summary'!$J$17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25FED0D-03E1-4A70-A34B-9E0DA3E3A467}"/>
            </a:ext>
          </a:extLst>
        </cdr:cNvPr>
        <cdr:cNvSpPr txBox="1"/>
      </cdr:nvSpPr>
      <cdr:spPr>
        <a:xfrm xmlns:a="http://schemas.openxmlformats.org/drawingml/2006/main">
          <a:off x="5021600" y="290514"/>
          <a:ext cx="657439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2BC801D-58C9-4223-8CD2-69408E55B428}" type="TxLink">
            <a:rPr lang="en-US" sz="1500" b="1" i="0" u="none" strike="noStrike">
              <a:solidFill>
                <a:srgbClr val="000000"/>
              </a:solidFill>
              <a:latin typeface="Times New Roman"/>
              <a:cs typeface="Times New Roman"/>
            </a:rPr>
            <a:pPr/>
            <a:t>636.66</a:t>
          </a:fld>
          <a:endParaRPr lang="en-US" sz="1100"/>
        </a:p>
      </cdr:txBody>
    </cdr:sp>
  </cdr:relSizeAnchor>
  <cdr:relSizeAnchor xmlns:cdr="http://schemas.openxmlformats.org/drawingml/2006/chartDrawing">
    <cdr:from>
      <cdr:x>0.61634</cdr:x>
      <cdr:y>0.08232</cdr:y>
    </cdr:from>
    <cdr:to>
      <cdr:x>0.68404</cdr:x>
      <cdr:y>0.16329</cdr:y>
    </cdr:to>
    <cdr:sp macro="" textlink="'Report Summary'!$J$17:$K$18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E4169B35-B9B0-477F-A894-124681B5FAD0}"/>
            </a:ext>
          </a:extLst>
        </cdr:cNvPr>
        <cdr:cNvSpPr txBox="1"/>
      </cdr:nvSpPr>
      <cdr:spPr>
        <a:xfrm xmlns:a="http://schemas.openxmlformats.org/drawingml/2006/main">
          <a:off x="5462589" y="290515"/>
          <a:ext cx="600075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500" b="1" i="0" u="none" strike="noStrike">
              <a:solidFill>
                <a:srgbClr val="000000"/>
              </a:solidFill>
              <a:latin typeface="Times New Roman"/>
              <a:cs typeface="Times New Roman"/>
            </a:rPr>
            <a:t>USD</a:t>
          </a:r>
        </a:p>
        <a:p xmlns:a="http://schemas.openxmlformats.org/drawingml/2006/main">
          <a:pPr algn="ctr"/>
          <a:endParaRPr lang="en-US" sz="1100"/>
        </a:p>
      </cdr:txBody>
    </cdr:sp>
  </cdr:relSizeAnchor>
  <cdr:relSizeAnchor xmlns:cdr="http://schemas.openxmlformats.org/drawingml/2006/chartDrawing">
    <cdr:from>
      <cdr:x>0.64535</cdr:x>
      <cdr:y>0.19523</cdr:y>
    </cdr:from>
    <cdr:to>
      <cdr:x>0.7344</cdr:x>
      <cdr:y>0.26046</cdr:y>
    </cdr:to>
    <cdr:sp macro="" textlink="'Report Summary'!$H$24:$I$24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8A4B8FB7-6F32-485F-AEBD-F1303B7980B3}"/>
            </a:ext>
          </a:extLst>
        </cdr:cNvPr>
        <cdr:cNvSpPr txBox="1"/>
      </cdr:nvSpPr>
      <cdr:spPr>
        <a:xfrm xmlns:a="http://schemas.openxmlformats.org/drawingml/2006/main">
          <a:off x="5719765" y="688975"/>
          <a:ext cx="789200" cy="2301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ED53ABA-5025-4C83-AABF-41C0DEBD0C28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673.13</a:t>
          </a:fld>
          <a:endParaRPr lang="en-US" sz="1100" b="0"/>
        </a:p>
      </cdr:txBody>
    </cdr:sp>
  </cdr:relSizeAnchor>
  <cdr:relSizeAnchor xmlns:cdr="http://schemas.openxmlformats.org/drawingml/2006/chartDrawing">
    <cdr:from>
      <cdr:x>0.67867</cdr:x>
      <cdr:y>0.45434</cdr:y>
    </cdr:from>
    <cdr:to>
      <cdr:x>0.76771</cdr:x>
      <cdr:y>0.51957</cdr:y>
    </cdr:to>
    <cdr:sp macro="" textlink="'Report Summary'!$H$23:$I$23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8A4B8FB7-6F32-485F-AEBD-F1303B7980B3}"/>
            </a:ext>
          </a:extLst>
        </cdr:cNvPr>
        <cdr:cNvSpPr txBox="1"/>
      </cdr:nvSpPr>
      <cdr:spPr>
        <a:xfrm xmlns:a="http://schemas.openxmlformats.org/drawingml/2006/main">
          <a:off x="6015040" y="1603375"/>
          <a:ext cx="789200" cy="2301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777372E-8365-4272-A4A8-157712CB051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709.23</a:t>
          </a:fld>
          <a:endParaRPr lang="en-US" sz="1100" b="0"/>
        </a:p>
      </cdr:txBody>
    </cdr:sp>
  </cdr:relSizeAnchor>
  <cdr:relSizeAnchor xmlns:cdr="http://schemas.openxmlformats.org/drawingml/2006/chartDrawing">
    <cdr:from>
      <cdr:x>0.64105</cdr:x>
      <cdr:y>0.71075</cdr:y>
    </cdr:from>
    <cdr:to>
      <cdr:x>0.7301</cdr:x>
      <cdr:y>0.77598</cdr:y>
    </cdr:to>
    <cdr:sp macro="" textlink="'Report Summary'!$H$22:$I$22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8A4B8FB7-6F32-485F-AEBD-F1303B7980B3}"/>
            </a:ext>
          </a:extLst>
        </cdr:cNvPr>
        <cdr:cNvSpPr txBox="1"/>
      </cdr:nvSpPr>
      <cdr:spPr>
        <a:xfrm xmlns:a="http://schemas.openxmlformats.org/drawingml/2006/main">
          <a:off x="5681665" y="2508250"/>
          <a:ext cx="789200" cy="2301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340D31A-AA1D-4469-A7B4-F887B7A7B61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748.41</a:t>
          </a:fld>
          <a:endParaRPr lang="en-US" sz="1100" b="0"/>
        </a:p>
      </cdr:txBody>
    </cdr:sp>
  </cdr:relSizeAnchor>
  <cdr:relSizeAnchor xmlns:cdr="http://schemas.openxmlformats.org/drawingml/2006/chartDrawing">
    <cdr:from>
      <cdr:x>0.68512</cdr:x>
      <cdr:y>0.05533</cdr:y>
    </cdr:from>
    <cdr:to>
      <cdr:x>0.78721</cdr:x>
      <cdr:y>0.12281</cdr:y>
    </cdr:to>
    <cdr:sp macro="" textlink="'Report Summary'!$Q$16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3ECA0975-30CF-46C2-B0D3-24ABE8BCC307}"/>
            </a:ext>
          </a:extLst>
        </cdr:cNvPr>
        <cdr:cNvSpPr txBox="1"/>
      </cdr:nvSpPr>
      <cdr:spPr>
        <a:xfrm xmlns:a="http://schemas.openxmlformats.org/drawingml/2006/main">
          <a:off x="6072188" y="195264"/>
          <a:ext cx="904875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A5DB582D-0904-4393-A381-090124D9FCCF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6.11%</a:t>
          </a:fld>
          <a:endParaRPr lang="en-US" sz="1100"/>
        </a:p>
      </cdr:txBody>
    </cdr:sp>
  </cdr:relSizeAnchor>
  <cdr:relSizeAnchor xmlns:cdr="http://schemas.openxmlformats.org/drawingml/2006/chartDrawing">
    <cdr:from>
      <cdr:x>0.69049</cdr:x>
      <cdr:y>0.10121</cdr:y>
    </cdr:from>
    <cdr:to>
      <cdr:x>0.82912</cdr:x>
      <cdr:y>0.17679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2CC557BD-9EB3-466C-A71C-B6020B1CF916}"/>
            </a:ext>
          </a:extLst>
        </cdr:cNvPr>
        <cdr:cNvSpPr txBox="1"/>
      </cdr:nvSpPr>
      <cdr:spPr>
        <a:xfrm xmlns:a="http://schemas.openxmlformats.org/drawingml/2006/main">
          <a:off x="6119813" y="357188"/>
          <a:ext cx="1228725" cy="2667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i="1"/>
            <a:t>Upside</a:t>
          </a:r>
          <a:r>
            <a:rPr lang="en-US" sz="1100" i="1" baseline="0"/>
            <a:t> (dowside)</a:t>
          </a:r>
        </a:p>
        <a:p xmlns:a="http://schemas.openxmlformats.org/drawingml/2006/main">
          <a:endParaRPr lang="en-US" sz="11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479053</xdr:colOff>
      <xdr:row>2</xdr:row>
      <xdr:rowOff>140634</xdr:rowOff>
    </xdr:from>
    <xdr:to>
      <xdr:col>19</xdr:col>
      <xdr:colOff>379319</xdr:colOff>
      <xdr:row>13</xdr:row>
      <xdr:rowOff>163122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CAAF6AC-9649-41F8-A009-6C858DA7FD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705409</xdr:colOff>
      <xdr:row>2</xdr:row>
      <xdr:rowOff>70037</xdr:rowOff>
    </xdr:from>
    <xdr:to>
      <xdr:col>14</xdr:col>
      <xdr:colOff>388843</xdr:colOff>
      <xdr:row>13</xdr:row>
      <xdr:rowOff>146236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9FD190AF-166A-4D8A-B796-7C8C271C38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30309" y="508187"/>
              <a:ext cx="3293409" cy="21812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823632</xdr:colOff>
      <xdr:row>33</xdr:row>
      <xdr:rowOff>113178</xdr:rowOff>
    </xdr:from>
    <xdr:to>
      <xdr:col>19</xdr:col>
      <xdr:colOff>218514</xdr:colOff>
      <xdr:row>50</xdr:row>
      <xdr:rowOff>22411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E36C3A-E575-444E-BAF4-D7774B8D49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715495</xdr:colOff>
      <xdr:row>2</xdr:row>
      <xdr:rowOff>163605</xdr:rowOff>
    </xdr:from>
    <xdr:to>
      <xdr:col>18</xdr:col>
      <xdr:colOff>596152</xdr:colOff>
      <xdr:row>18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2FFF9AA-18EF-47CE-A1F9-1A581392679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87895" y="544605"/>
              <a:ext cx="5595657" cy="30939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1BEC4-4C45-405D-8CC0-2636D5BFBE1A}">
  <sheetPr codeName="Sheet1"/>
  <dimension ref="A1:Q39"/>
  <sheetViews>
    <sheetView tabSelected="1" topLeftCell="A4" zoomScale="85" zoomScaleNormal="85" workbookViewId="0">
      <selection activeCell="B10" sqref="B10"/>
    </sheetView>
  </sheetViews>
  <sheetFormatPr defaultRowHeight="15" x14ac:dyDescent="0.25"/>
  <cols>
    <col min="1" max="1" width="11.7109375" customWidth="1"/>
    <col min="10" max="10" width="9.140625" customWidth="1"/>
    <col min="13" max="13" width="10.42578125" customWidth="1"/>
    <col min="15" max="15" width="9.85546875" customWidth="1"/>
    <col min="16" max="16" width="9.5703125" customWidth="1"/>
    <col min="19" max="19" width="10.7109375" bestFit="1" customWidth="1"/>
  </cols>
  <sheetData>
    <row r="1" spans="1:17" ht="15" customHeight="1" x14ac:dyDescent="0.6">
      <c r="C1" s="3"/>
      <c r="D1" s="178" t="s">
        <v>1</v>
      </c>
      <c r="E1" s="178"/>
      <c r="F1" s="178"/>
      <c r="G1" s="178"/>
      <c r="H1" s="178"/>
      <c r="I1" s="178"/>
      <c r="J1" s="178"/>
      <c r="K1" s="9"/>
      <c r="L1" s="2"/>
      <c r="M1" s="2"/>
      <c r="N1" s="2"/>
      <c r="O1" s="2"/>
      <c r="Q1" s="11"/>
    </row>
    <row r="2" spans="1:17" ht="15" customHeight="1" x14ac:dyDescent="0.6">
      <c r="C2" s="3"/>
      <c r="D2" s="178"/>
      <c r="E2" s="178"/>
      <c r="F2" s="178"/>
      <c r="G2" s="178"/>
      <c r="H2" s="178"/>
      <c r="I2" s="178"/>
      <c r="J2" s="178"/>
      <c r="K2" s="10"/>
      <c r="Q2" s="11"/>
    </row>
    <row r="3" spans="1:17" ht="15" customHeight="1" x14ac:dyDescent="0.6">
      <c r="C3" s="3"/>
      <c r="D3" s="178"/>
      <c r="E3" s="178"/>
      <c r="F3" s="178"/>
      <c r="G3" s="178"/>
      <c r="H3" s="178"/>
      <c r="I3" s="178"/>
      <c r="J3" s="178"/>
      <c r="K3" s="10"/>
      <c r="Q3" s="11"/>
    </row>
    <row r="4" spans="1:17" ht="15" customHeight="1" x14ac:dyDescent="0.25">
      <c r="C4" s="4"/>
      <c r="D4" s="179" t="s">
        <v>0</v>
      </c>
      <c r="E4" s="179"/>
      <c r="F4" s="179"/>
      <c r="G4" s="179"/>
      <c r="H4" s="179"/>
      <c r="I4" s="179"/>
      <c r="J4" s="179"/>
      <c r="K4" s="10"/>
      <c r="L4" s="180" t="s">
        <v>3</v>
      </c>
      <c r="M4" s="180"/>
      <c r="N4" s="173" t="s">
        <v>4</v>
      </c>
      <c r="O4" s="174"/>
      <c r="P4" s="174"/>
      <c r="Q4" s="11"/>
    </row>
    <row r="5" spans="1:17" ht="15" customHeight="1" x14ac:dyDescent="0.25">
      <c r="C5" s="4"/>
      <c r="D5" s="179"/>
      <c r="E5" s="179"/>
      <c r="F5" s="179"/>
      <c r="G5" s="179"/>
      <c r="H5" s="179"/>
      <c r="I5" s="179"/>
      <c r="J5" s="179"/>
      <c r="K5" s="10"/>
      <c r="L5" s="180"/>
      <c r="M5" s="180"/>
      <c r="N5" s="173"/>
      <c r="O5" s="174"/>
      <c r="P5" s="174"/>
      <c r="Q5" s="11"/>
    </row>
    <row r="6" spans="1:17" ht="15" customHeight="1" x14ac:dyDescent="0.25">
      <c r="C6" s="4"/>
      <c r="D6" s="179"/>
      <c r="E6" s="179"/>
      <c r="F6" s="179"/>
      <c r="G6" s="179"/>
      <c r="H6" s="179"/>
      <c r="I6" s="179"/>
      <c r="J6" s="179"/>
      <c r="K6" s="10"/>
      <c r="L6" s="175" t="s">
        <v>5</v>
      </c>
      <c r="M6" s="175"/>
      <c r="N6" s="171">
        <v>0.6</v>
      </c>
      <c r="O6" s="172"/>
      <c r="P6" s="172"/>
      <c r="Q6" s="11"/>
    </row>
    <row r="7" spans="1:17" ht="15" customHeight="1" x14ac:dyDescent="0.3">
      <c r="D7" s="176" t="s">
        <v>2</v>
      </c>
      <c r="E7" s="176"/>
      <c r="F7" s="176"/>
      <c r="G7" s="176"/>
      <c r="H7" s="176"/>
      <c r="I7" s="176"/>
      <c r="J7" s="176"/>
      <c r="K7" s="10"/>
      <c r="L7" s="175" t="s">
        <v>7</v>
      </c>
      <c r="M7" s="175"/>
      <c r="N7" s="171">
        <v>0.2</v>
      </c>
      <c r="O7" s="172"/>
      <c r="P7" s="172"/>
      <c r="Q7" s="11"/>
    </row>
    <row r="8" spans="1:17" ht="15" customHeight="1" x14ac:dyDescent="0.25">
      <c r="D8" s="177" t="s">
        <v>134</v>
      </c>
      <c r="E8" s="177"/>
      <c r="F8" s="177"/>
      <c r="G8" s="177"/>
      <c r="H8" s="177"/>
      <c r="I8" s="177"/>
      <c r="J8" s="177"/>
      <c r="K8" s="11"/>
      <c r="L8" s="175" t="s">
        <v>6</v>
      </c>
      <c r="M8" s="175"/>
      <c r="N8" s="171">
        <v>0.2</v>
      </c>
      <c r="O8" s="172"/>
      <c r="P8" s="172"/>
      <c r="Q8" s="11"/>
    </row>
    <row r="9" spans="1:17" ht="15" customHeight="1" x14ac:dyDescent="0.25">
      <c r="D9" s="5"/>
      <c r="E9" s="5"/>
      <c r="F9" s="5"/>
      <c r="G9" s="5"/>
      <c r="H9" s="5"/>
      <c r="I9" s="5"/>
      <c r="J9" s="5"/>
    </row>
    <row r="10" spans="1:17" ht="15.75" x14ac:dyDescent="0.25">
      <c r="A10" s="143" t="s">
        <v>244</v>
      </c>
      <c r="B10" s="88" t="s">
        <v>136</v>
      </c>
    </row>
    <row r="11" spans="1:17" ht="15" customHeight="1" x14ac:dyDescent="0.3">
      <c r="A11" s="143"/>
      <c r="B11" s="6"/>
      <c r="C11" s="6"/>
      <c r="D11" s="6"/>
    </row>
    <row r="12" spans="1:17" ht="15" customHeight="1" x14ac:dyDescent="0.3">
      <c r="A12" s="6"/>
      <c r="B12" s="170" t="s">
        <v>119</v>
      </c>
      <c r="C12" s="170"/>
      <c r="D12" s="166" t="s">
        <v>120</v>
      </c>
      <c r="E12" s="167"/>
      <c r="F12" s="167"/>
      <c r="G12" s="166" t="s">
        <v>4</v>
      </c>
      <c r="H12" s="167"/>
      <c r="I12" s="167"/>
      <c r="J12" s="159" t="s">
        <v>117</v>
      </c>
      <c r="K12" s="159"/>
    </row>
    <row r="13" spans="1:17" x14ac:dyDescent="0.25">
      <c r="B13" s="170"/>
      <c r="C13" s="170"/>
      <c r="D13" s="166"/>
      <c r="E13" s="167"/>
      <c r="F13" s="167"/>
      <c r="G13" s="166"/>
      <c r="H13" s="167"/>
      <c r="I13" s="167"/>
      <c r="J13" s="159"/>
      <c r="K13" s="159"/>
    </row>
    <row r="14" spans="1:17" ht="15.75" x14ac:dyDescent="0.25">
      <c r="B14" s="163" t="s">
        <v>5</v>
      </c>
      <c r="C14" s="163"/>
      <c r="D14" s="168">
        <f>'DCF Model'!K28</f>
        <v>636.09555428268243</v>
      </c>
      <c r="E14" s="169"/>
      <c r="F14" s="169"/>
      <c r="G14" s="164">
        <f>N6</f>
        <v>0.6</v>
      </c>
      <c r="H14" s="165"/>
      <c r="I14" s="165"/>
      <c r="J14" s="160">
        <f>G14*D14</f>
        <v>381.65733256960942</v>
      </c>
      <c r="K14" s="160"/>
      <c r="M14" s="150" t="s">
        <v>250</v>
      </c>
      <c r="N14" s="151"/>
      <c r="O14" s="151"/>
      <c r="P14">
        <v>600</v>
      </c>
    </row>
    <row r="15" spans="1:17" ht="15.75" x14ac:dyDescent="0.25">
      <c r="B15" s="163" t="s">
        <v>7</v>
      </c>
      <c r="C15" s="163"/>
      <c r="D15" s="168">
        <f>'Peer &amp; Self Comps'!F29</f>
        <v>654.26086489670172</v>
      </c>
      <c r="E15" s="169"/>
      <c r="F15" s="169"/>
      <c r="G15" s="164">
        <f>N7</f>
        <v>0.2</v>
      </c>
      <c r="H15" s="165"/>
      <c r="I15" s="165"/>
      <c r="J15" s="160">
        <f>G15*D15</f>
        <v>130.85217297934034</v>
      </c>
      <c r="K15" s="160"/>
      <c r="M15" s="150" t="s">
        <v>127</v>
      </c>
      <c r="N15" s="151"/>
      <c r="O15" s="151"/>
      <c r="P15" s="92">
        <f>J17</f>
        <v>636.66154805710494</v>
      </c>
    </row>
    <row r="16" spans="1:17" ht="15.75" x14ac:dyDescent="0.25">
      <c r="B16" s="163" t="s">
        <v>6</v>
      </c>
      <c r="C16" s="163"/>
      <c r="D16" s="168">
        <f>'Peer &amp; Self Comps'!F37</f>
        <v>620.76021254077568</v>
      </c>
      <c r="E16" s="169"/>
      <c r="F16" s="169"/>
      <c r="G16" s="164">
        <f>N8</f>
        <v>0.2</v>
      </c>
      <c r="H16" s="165"/>
      <c r="I16" s="165"/>
      <c r="J16" s="160">
        <f>G16*D16</f>
        <v>124.15204250815515</v>
      </c>
      <c r="K16" s="160"/>
      <c r="M16" s="150" t="s">
        <v>9</v>
      </c>
      <c r="N16" s="151"/>
      <c r="O16" s="151"/>
      <c r="P16" s="94">
        <f>P15-P14</f>
        <v>36.661548057104937</v>
      </c>
      <c r="Q16" s="95">
        <f>P16/P14</f>
        <v>6.1102580095174892E-2</v>
      </c>
    </row>
    <row r="17" spans="1:15" ht="15.75" customHeight="1" x14ac:dyDescent="0.25">
      <c r="B17" s="7"/>
      <c r="C17" s="7"/>
      <c r="D17" s="7"/>
      <c r="E17" s="7"/>
      <c r="F17" s="7"/>
      <c r="G17" s="162">
        <f>SUM(G14:I16)</f>
        <v>1</v>
      </c>
      <c r="H17" s="162"/>
      <c r="I17" s="162"/>
      <c r="J17" s="161">
        <f>SUM(J14:K16)</f>
        <v>636.66154805710494</v>
      </c>
      <c r="K17" s="161"/>
    </row>
    <row r="18" spans="1:15" ht="15.75" x14ac:dyDescent="0.25">
      <c r="B18" s="7"/>
      <c r="C18" s="7"/>
      <c r="D18" s="7"/>
      <c r="E18" s="8"/>
      <c r="F18" s="7"/>
      <c r="G18" s="162"/>
      <c r="H18" s="162"/>
      <c r="I18" s="162"/>
      <c r="J18" s="161"/>
      <c r="K18" s="161"/>
    </row>
    <row r="19" spans="1:15" x14ac:dyDescent="0.25">
      <c r="B19" s="152" t="s">
        <v>116</v>
      </c>
      <c r="C19" s="152"/>
      <c r="D19" s="152"/>
      <c r="E19" s="93">
        <v>2.5000000000000001E-2</v>
      </c>
    </row>
    <row r="20" spans="1:15" x14ac:dyDescent="0.25">
      <c r="B20" s="152" t="s">
        <v>115</v>
      </c>
      <c r="C20" s="152"/>
      <c r="D20" s="152"/>
      <c r="E20" s="92">
        <v>18</v>
      </c>
    </row>
    <row r="21" spans="1:15" x14ac:dyDescent="0.25">
      <c r="B21" s="156" t="s">
        <v>121</v>
      </c>
      <c r="C21" s="156"/>
      <c r="D21" s="156" t="s">
        <v>254</v>
      </c>
      <c r="E21" s="156"/>
      <c r="F21" s="156" t="s">
        <v>255</v>
      </c>
      <c r="G21" s="156"/>
      <c r="H21" s="156" t="s">
        <v>256</v>
      </c>
      <c r="I21" s="156"/>
    </row>
    <row r="22" spans="1:15" x14ac:dyDescent="0.25">
      <c r="B22" s="158" t="s">
        <v>122</v>
      </c>
      <c r="C22" s="158"/>
      <c r="D22" s="157">
        <v>374.47653530090258</v>
      </c>
      <c r="E22" s="157"/>
      <c r="F22" s="157">
        <v>536.41531090984995</v>
      </c>
      <c r="G22" s="157"/>
      <c r="H22" s="157">
        <v>748.40981846543991</v>
      </c>
      <c r="I22" s="157"/>
    </row>
    <row r="23" spans="1:15" x14ac:dyDescent="0.25">
      <c r="B23" s="158" t="s">
        <v>7</v>
      </c>
      <c r="C23" s="158"/>
      <c r="D23" s="157">
        <v>534.34892805364268</v>
      </c>
      <c r="E23" s="157"/>
      <c r="F23" s="157">
        <v>599.29245650598045</v>
      </c>
      <c r="G23" s="157"/>
      <c r="H23" s="157">
        <v>709.22927328742298</v>
      </c>
      <c r="I23" s="157"/>
    </row>
    <row r="24" spans="1:15" ht="15.75" thickBot="1" x14ac:dyDescent="0.3">
      <c r="B24" s="158" t="s">
        <v>6</v>
      </c>
      <c r="C24" s="158"/>
      <c r="D24" s="157">
        <v>506.5761934034071</v>
      </c>
      <c r="E24" s="157"/>
      <c r="F24" s="157">
        <v>568.3882218194999</v>
      </c>
      <c r="G24" s="157"/>
      <c r="H24" s="157">
        <v>673.13220326205158</v>
      </c>
      <c r="I24" s="157"/>
    </row>
    <row r="25" spans="1:15" x14ac:dyDescent="0.25">
      <c r="L25" s="153" t="s">
        <v>123</v>
      </c>
      <c r="M25" s="154"/>
      <c r="N25" s="154" t="s">
        <v>124</v>
      </c>
      <c r="O25" s="155"/>
    </row>
    <row r="26" spans="1:15" x14ac:dyDescent="0.25">
      <c r="L26" s="144">
        <f>D22</f>
        <v>374.47653530090258</v>
      </c>
      <c r="M26" s="145"/>
      <c r="N26" s="145">
        <f>H22-D22</f>
        <v>373.93328316453733</v>
      </c>
      <c r="O26" s="148"/>
    </row>
    <row r="27" spans="1:15" x14ac:dyDescent="0.25">
      <c r="L27" s="144">
        <f>D23</f>
        <v>534.34892805364268</v>
      </c>
      <c r="M27" s="145"/>
      <c r="N27" s="145">
        <f>H23-D23</f>
        <v>174.8803452337803</v>
      </c>
      <c r="O27" s="148"/>
    </row>
    <row r="28" spans="1:15" ht="15.75" thickBot="1" x14ac:dyDescent="0.3">
      <c r="A28" s="1"/>
      <c r="L28" s="146">
        <f>D24</f>
        <v>506.5761934034071</v>
      </c>
      <c r="M28" s="147"/>
      <c r="N28" s="147">
        <f>H24-D24</f>
        <v>166.55600985864447</v>
      </c>
      <c r="O28" s="149"/>
    </row>
    <row r="29" spans="1:15" x14ac:dyDescent="0.25">
      <c r="A29" s="1"/>
    </row>
    <row r="30" spans="1:15" x14ac:dyDescent="0.25">
      <c r="A30" s="1"/>
    </row>
    <row r="36" spans="2:3" x14ac:dyDescent="0.25">
      <c r="B36" s="1" t="s">
        <v>125</v>
      </c>
      <c r="C36" s="1" t="s">
        <v>126</v>
      </c>
    </row>
    <row r="37" spans="2:3" x14ac:dyDescent="0.25">
      <c r="B37" s="91">
        <f>J17</f>
        <v>636.66154805710494</v>
      </c>
      <c r="C37" s="1">
        <v>0</v>
      </c>
    </row>
    <row r="38" spans="2:3" x14ac:dyDescent="0.25">
      <c r="B38" s="91">
        <f>J17</f>
        <v>636.66154805710494</v>
      </c>
      <c r="C38" s="1">
        <v>2</v>
      </c>
    </row>
    <row r="39" spans="2:3" x14ac:dyDescent="0.25">
      <c r="B39" s="91">
        <f>J17</f>
        <v>636.66154805710494</v>
      </c>
      <c r="C39" s="1">
        <v>4</v>
      </c>
    </row>
  </sheetData>
  <mergeCells count="60">
    <mergeCell ref="D7:J7"/>
    <mergeCell ref="D8:J8"/>
    <mergeCell ref="D1:J3"/>
    <mergeCell ref="D4:J6"/>
    <mergeCell ref="L8:M8"/>
    <mergeCell ref="L4:M5"/>
    <mergeCell ref="N6:P6"/>
    <mergeCell ref="N7:P7"/>
    <mergeCell ref="N8:P8"/>
    <mergeCell ref="N4:P5"/>
    <mergeCell ref="L6:M6"/>
    <mergeCell ref="L7:M7"/>
    <mergeCell ref="G17:I18"/>
    <mergeCell ref="B16:C16"/>
    <mergeCell ref="G16:I16"/>
    <mergeCell ref="D12:F13"/>
    <mergeCell ref="D14:F14"/>
    <mergeCell ref="D15:F15"/>
    <mergeCell ref="D16:F16"/>
    <mergeCell ref="B12:C13"/>
    <mergeCell ref="G12:I13"/>
    <mergeCell ref="B14:C14"/>
    <mergeCell ref="G14:I14"/>
    <mergeCell ref="B15:C15"/>
    <mergeCell ref="G15:I15"/>
    <mergeCell ref="J12:K13"/>
    <mergeCell ref="J14:K14"/>
    <mergeCell ref="J15:K15"/>
    <mergeCell ref="J16:K16"/>
    <mergeCell ref="J17:K18"/>
    <mergeCell ref="B21:C21"/>
    <mergeCell ref="B22:C22"/>
    <mergeCell ref="F23:G23"/>
    <mergeCell ref="F24:G24"/>
    <mergeCell ref="H21:I21"/>
    <mergeCell ref="H22:I22"/>
    <mergeCell ref="H23:I23"/>
    <mergeCell ref="H24:I24"/>
    <mergeCell ref="B23:C23"/>
    <mergeCell ref="B24:C24"/>
    <mergeCell ref="D21:E21"/>
    <mergeCell ref="D22:E22"/>
    <mergeCell ref="D23:E23"/>
    <mergeCell ref="D24:E24"/>
    <mergeCell ref="A10:A11"/>
    <mergeCell ref="L27:M27"/>
    <mergeCell ref="L28:M28"/>
    <mergeCell ref="N27:O27"/>
    <mergeCell ref="N28:O28"/>
    <mergeCell ref="M14:O14"/>
    <mergeCell ref="M15:O15"/>
    <mergeCell ref="M16:O16"/>
    <mergeCell ref="B19:D19"/>
    <mergeCell ref="B20:D20"/>
    <mergeCell ref="L25:M25"/>
    <mergeCell ref="N25:O25"/>
    <mergeCell ref="L26:M26"/>
    <mergeCell ref="N26:O26"/>
    <mergeCell ref="F21:G21"/>
    <mergeCell ref="F22:G22"/>
  </mergeCells>
  <conditionalFormatting sqref="Q16">
    <cfRule type="cellIs" dxfId="0" priority="1" operator="lessThan">
      <formula>0</formula>
    </cfRule>
  </conditionalFormatting>
  <dataValidations count="1">
    <dataValidation type="list" allowBlank="1" showInputMessage="1" showErrorMessage="1" sqref="B10" xr:uid="{A2C3F362-DC84-43C0-9284-86058BA9EA8A}">
      <formula1>"Bear,Bearish,Neutral,Bullish,Bull"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88E63-C0B5-4B7C-9462-7DD10D4AD7EC}">
  <sheetPr codeName="Sheet2"/>
  <dimension ref="A1:Z61"/>
  <sheetViews>
    <sheetView showGridLines="0" topLeftCell="A7" zoomScale="85" zoomScaleNormal="85" workbookViewId="0">
      <selection activeCell="I15" sqref="I15:K28"/>
    </sheetView>
  </sheetViews>
  <sheetFormatPr defaultColWidth="9.140625" defaultRowHeight="15" x14ac:dyDescent="0.25"/>
  <cols>
    <col min="1" max="1" width="3.5703125" style="16" customWidth="1"/>
    <col min="2" max="2" width="18.42578125" style="16" customWidth="1"/>
    <col min="3" max="3" width="19.5703125" style="16" customWidth="1"/>
    <col min="4" max="4" width="13" style="60" customWidth="1"/>
    <col min="5" max="5" width="14" style="16" customWidth="1"/>
    <col min="6" max="6" width="11.5703125" style="16" customWidth="1"/>
    <col min="7" max="7" width="12.7109375" style="16" customWidth="1"/>
    <col min="8" max="8" width="11.7109375" style="16" customWidth="1"/>
    <col min="9" max="9" width="13.7109375" style="16" customWidth="1"/>
    <col min="10" max="12" width="12.5703125" style="16" customWidth="1"/>
    <col min="13" max="13" width="16.42578125" style="16" customWidth="1"/>
    <col min="14" max="14" width="12.5703125" style="16" customWidth="1"/>
    <col min="15" max="15" width="10.28515625" style="16" bestFit="1" customWidth="1"/>
    <col min="16" max="16" width="9.7109375" style="16" bestFit="1" customWidth="1"/>
    <col min="17" max="17" width="9.28515625" style="16" bestFit="1" customWidth="1"/>
    <col min="18" max="18" width="10" style="16" customWidth="1"/>
    <col min="19" max="19" width="25.7109375" style="16" customWidth="1"/>
    <col min="20" max="20" width="10.5703125" style="16" bestFit="1" customWidth="1"/>
    <col min="21" max="22" width="9.28515625" style="16" bestFit="1" customWidth="1"/>
    <col min="23" max="23" width="10.7109375" style="16" customWidth="1"/>
    <col min="24" max="26" width="9.28515625" style="16" bestFit="1" customWidth="1"/>
    <col min="27" max="16384" width="9.140625" style="16"/>
  </cols>
  <sheetData>
    <row r="1" spans="2:20" s="13" customFormat="1" ht="18" customHeight="1" x14ac:dyDescent="0.25">
      <c r="B1" s="182" t="s">
        <v>30</v>
      </c>
      <c r="C1" s="182"/>
      <c r="D1" s="186" t="s">
        <v>131</v>
      </c>
      <c r="E1" s="17"/>
      <c r="F1" s="15"/>
      <c r="G1" s="15"/>
      <c r="I1" s="14"/>
      <c r="J1" s="12"/>
      <c r="K1" s="12"/>
      <c r="L1" s="12"/>
      <c r="M1" s="15"/>
      <c r="N1" s="15"/>
    </row>
    <row r="2" spans="2:20" ht="16.5" customHeight="1" x14ac:dyDescent="0.25">
      <c r="B2" s="182"/>
      <c r="C2" s="182"/>
      <c r="D2" s="186"/>
      <c r="E2" s="17"/>
      <c r="F2" s="17"/>
      <c r="G2" s="17"/>
      <c r="H2" s="17"/>
      <c r="I2" s="17"/>
    </row>
    <row r="3" spans="2:20" x14ac:dyDescent="0.25">
      <c r="B3" s="18" t="s">
        <v>249</v>
      </c>
      <c r="C3" s="185" t="s">
        <v>251</v>
      </c>
      <c r="D3" s="185"/>
      <c r="E3" s="17"/>
    </row>
    <row r="4" spans="2:20" ht="15.75" x14ac:dyDescent="0.25">
      <c r="B4" s="19" t="s">
        <v>29</v>
      </c>
      <c r="C4" s="20"/>
      <c r="D4" s="21">
        <v>0.22</v>
      </c>
      <c r="F4" s="88"/>
    </row>
    <row r="5" spans="2:20" x14ac:dyDescent="0.25">
      <c r="B5" s="22" t="s">
        <v>57</v>
      </c>
      <c r="D5" s="23">
        <f>D12</f>
        <v>0.105</v>
      </c>
    </row>
    <row r="6" spans="2:20" x14ac:dyDescent="0.25">
      <c r="B6" s="16" t="s">
        <v>83</v>
      </c>
      <c r="D6" s="72">
        <f>'Report Summary'!E19</f>
        <v>2.5000000000000001E-2</v>
      </c>
    </row>
    <row r="7" spans="2:20" x14ac:dyDescent="0.25">
      <c r="B7" s="16" t="s">
        <v>65</v>
      </c>
      <c r="D7" s="24">
        <f>'Report Summary'!E20</f>
        <v>18</v>
      </c>
    </row>
    <row r="8" spans="2:20" x14ac:dyDescent="0.25">
      <c r="B8" s="16" t="s">
        <v>250</v>
      </c>
      <c r="D8" s="25">
        <f>'Report Summary'!P14</f>
        <v>600</v>
      </c>
    </row>
    <row r="9" spans="2:20" x14ac:dyDescent="0.25">
      <c r="B9" s="16" t="s">
        <v>60</v>
      </c>
      <c r="D9" s="26">
        <v>275.89999999999998</v>
      </c>
    </row>
    <row r="10" spans="2:20" x14ac:dyDescent="0.25">
      <c r="B10" s="16" t="s">
        <v>62</v>
      </c>
      <c r="D10" s="27">
        <v>0</v>
      </c>
      <c r="I10" s="30" t="s">
        <v>84</v>
      </c>
      <c r="J10" s="31"/>
      <c r="K10" s="75" t="s">
        <v>26</v>
      </c>
    </row>
    <row r="11" spans="2:20" x14ac:dyDescent="0.25">
      <c r="B11" s="16" t="s">
        <v>61</v>
      </c>
      <c r="D11" s="28">
        <v>9342.2999999999993</v>
      </c>
      <c r="I11" s="36" t="s">
        <v>85</v>
      </c>
      <c r="J11" s="36"/>
      <c r="K11" s="36">
        <f>M55*(1+D6)/(D5-D6)</f>
        <v>148394.07728574541</v>
      </c>
    </row>
    <row r="12" spans="2:20" x14ac:dyDescent="0.25">
      <c r="B12" s="16" t="s">
        <v>242</v>
      </c>
      <c r="D12" s="23">
        <v>0.105</v>
      </c>
      <c r="I12" s="16" t="s">
        <v>23</v>
      </c>
      <c r="K12" s="40">
        <f>D7*(M46)</f>
        <v>273562.3099330499</v>
      </c>
    </row>
    <row r="13" spans="2:20" x14ac:dyDescent="0.25">
      <c r="B13" s="16" t="s">
        <v>63</v>
      </c>
      <c r="D13" s="29">
        <v>0</v>
      </c>
      <c r="I13" s="16" t="s">
        <v>22</v>
      </c>
      <c r="K13" s="43">
        <f>AVERAGE(K11:K12)</f>
        <v>210978.19360939765</v>
      </c>
    </row>
    <row r="14" spans="2:20" x14ac:dyDescent="0.25">
      <c r="B14" s="58" t="s">
        <v>54</v>
      </c>
      <c r="D14" s="17">
        <f>AVERAGE(924,1123,1074,1196.6,1292, 1436, 2034, 2280)</f>
        <v>1419.95</v>
      </c>
    </row>
    <row r="15" spans="2:20" x14ac:dyDescent="0.25">
      <c r="I15" s="30" t="s">
        <v>72</v>
      </c>
      <c r="J15" s="31"/>
      <c r="K15" s="31"/>
    </row>
    <row r="16" spans="2:20" x14ac:dyDescent="0.25">
      <c r="I16" s="63" t="s">
        <v>230</v>
      </c>
      <c r="J16" s="63"/>
      <c r="K16" s="64">
        <f>F55/D9</f>
        <v>9.8748563247553456</v>
      </c>
      <c r="R16" s="30" t="s">
        <v>18</v>
      </c>
      <c r="S16" s="31"/>
      <c r="T16" s="31"/>
    </row>
    <row r="17" spans="2:26" x14ac:dyDescent="0.25">
      <c r="I17" s="65" t="s">
        <v>231</v>
      </c>
      <c r="J17" s="65"/>
      <c r="K17" s="66">
        <f>G55/($D$9*POWER((1+D5),1))</f>
        <v>14.358295090628943</v>
      </c>
      <c r="R17" s="33" t="s">
        <v>16</v>
      </c>
      <c r="S17" s="33"/>
      <c r="T17" s="61">
        <f>T24/T22-1</f>
        <v>6.0159257137804012E-2</v>
      </c>
    </row>
    <row r="18" spans="2:26" x14ac:dyDescent="0.25">
      <c r="I18" s="65" t="s">
        <v>69</v>
      </c>
      <c r="J18" s="65"/>
      <c r="K18" s="66">
        <f>H55/($D$9*POWER((1+$D$5),2))</f>
        <v>15.555359826563468</v>
      </c>
      <c r="S18" s="50"/>
    </row>
    <row r="19" spans="2:26" x14ac:dyDescent="0.25">
      <c r="I19" s="65" t="s">
        <v>70</v>
      </c>
      <c r="J19" s="65"/>
      <c r="K19" s="66">
        <f>I55/($D$9*POWER((1+$D$5),3))</f>
        <v>19.273350106242617</v>
      </c>
    </row>
    <row r="20" spans="2:26" x14ac:dyDescent="0.25">
      <c r="I20" s="65" t="s">
        <v>129</v>
      </c>
      <c r="J20" s="65"/>
      <c r="K20" s="66">
        <f>J55/($D$9*POWER((1+$D$5),4))</f>
        <v>18.784999085638873</v>
      </c>
    </row>
    <row r="21" spans="2:26" ht="15.75" thickBot="1" x14ac:dyDescent="0.3">
      <c r="I21" s="65" t="s">
        <v>71</v>
      </c>
      <c r="J21" s="65"/>
      <c r="K21" s="66">
        <f>K55/($D$9*POWER((1+$D$5),5))</f>
        <v>20.090865161781473</v>
      </c>
      <c r="M21" s="30" t="s">
        <v>64</v>
      </c>
      <c r="N21" s="31"/>
      <c r="O21" s="31"/>
      <c r="P21" s="31"/>
      <c r="R21" s="30" t="s">
        <v>12</v>
      </c>
      <c r="S21" s="31"/>
      <c r="T21" s="31"/>
    </row>
    <row r="22" spans="2:26" ht="15.75" thickBot="1" x14ac:dyDescent="0.3">
      <c r="B22" s="187" t="s">
        <v>228</v>
      </c>
      <c r="C22" s="188"/>
      <c r="D22" s="188"/>
      <c r="E22" s="188"/>
      <c r="F22" s="189"/>
      <c r="G22" s="74" t="s">
        <v>82</v>
      </c>
      <c r="I22" s="65" t="s">
        <v>226</v>
      </c>
      <c r="K22" s="66">
        <f>L55/($D$9*POWER((1+$D$5),6))</f>
        <v>19.26073107897906</v>
      </c>
      <c r="M22" s="33" t="s">
        <v>17</v>
      </c>
      <c r="N22" s="33"/>
      <c r="O22" s="33">
        <f>D9*D8</f>
        <v>165540</v>
      </c>
      <c r="R22" s="16" t="s">
        <v>11</v>
      </c>
      <c r="T22" s="62">
        <f>O28</f>
        <v>600</v>
      </c>
    </row>
    <row r="23" spans="2:26" ht="15.75" thickBot="1" x14ac:dyDescent="0.3">
      <c r="B23" s="48" t="s">
        <v>55</v>
      </c>
      <c r="C23" s="48" t="s">
        <v>39</v>
      </c>
      <c r="D23" s="49" t="s">
        <v>40</v>
      </c>
      <c r="E23" s="49" t="s">
        <v>41</v>
      </c>
      <c r="F23" s="74" t="s">
        <v>42</v>
      </c>
      <c r="G23" s="90" t="str">
        <f>IF('Report Summary'!$B$10="Bear", D23,
IF('Report Summary'!$B$10="Bearish", "Bearish",
IF('Report Summary'!$B$10="Bull", F23,
IF('Report Summary'!$B$10="Bullish", "Bullish",
IF('Report Summary'!$B$10="Neutral", E23, "")))))</f>
        <v>Bullish</v>
      </c>
      <c r="I23" s="65" t="s">
        <v>227</v>
      </c>
      <c r="J23" s="65"/>
      <c r="K23" s="66">
        <f>M55/($D$9*POWER((1+$D$5),7))</f>
        <v>20.868683028654445</v>
      </c>
      <c r="M23" s="16" t="s">
        <v>15</v>
      </c>
      <c r="O23" s="16">
        <f>D13</f>
        <v>0</v>
      </c>
      <c r="R23" s="16" t="s">
        <v>56</v>
      </c>
      <c r="T23" s="62">
        <f>T24-T22</f>
        <v>36.095554282682428</v>
      </c>
    </row>
    <row r="24" spans="2:26" ht="15.75" thickBot="1" x14ac:dyDescent="0.3">
      <c r="B24" s="51" t="s">
        <v>43</v>
      </c>
      <c r="C24" s="52" t="s">
        <v>252</v>
      </c>
      <c r="D24" s="53">
        <v>0.04</v>
      </c>
      <c r="E24" s="53">
        <v>6.5000000000000002E-2</v>
      </c>
      <c r="F24" s="54">
        <v>0.09</v>
      </c>
      <c r="G24" s="90">
        <f>IF(OR('Report Summary'!$B$10="Bear",'Report Summary'!$B$10="Bearish"),
       IF('Report Summary'!$B$10="Bear", D24, AVERAGE(D24,E24)),
 IF(OR('Report Summary'!$B$10="Bull",'Report Summary'!$B$10="Bullish"),
       IF('Report Summary'!$B$10="Bull", F24, AVERAGE(E24,F24)),
 IF('Report Summary'!$B$10="Neutral", E24, "")))</f>
        <v>7.7499999999999999E-2</v>
      </c>
      <c r="I24" s="65" t="s">
        <v>246</v>
      </c>
      <c r="J24" s="65"/>
      <c r="K24" s="65">
        <f>N55/(POWER((1+D5),5)*D9)</f>
        <v>464.16723299190647</v>
      </c>
      <c r="M24" s="16" t="s">
        <v>14</v>
      </c>
      <c r="O24" s="16">
        <f>+D11</f>
        <v>9342.2999999999993</v>
      </c>
      <c r="R24" s="16" t="s">
        <v>8</v>
      </c>
      <c r="T24" s="62">
        <f>K28</f>
        <v>636.09555428268243</v>
      </c>
    </row>
    <row r="25" spans="2:26" ht="30.75" thickBot="1" x14ac:dyDescent="0.3">
      <c r="B25" s="51"/>
      <c r="C25" s="55" t="s">
        <v>243</v>
      </c>
      <c r="D25" s="56">
        <v>7.0000000000000001E-3</v>
      </c>
      <c r="E25" s="56">
        <v>1.2E-2</v>
      </c>
      <c r="F25" s="57">
        <v>1.7000000000000001E-2</v>
      </c>
      <c r="G25" s="90">
        <f>IF(OR('Report Summary'!$B$10="Bear",'Report Summary'!$B$10="Bearish"),
       IF('Report Summary'!$B$10="Bear", D25, AVERAGE(D25,E25)),
 IF(OR('Report Summary'!$B$10="Bull",'Report Summary'!$B$10="Bullish"),
       IF('Report Summary'!$B$10="Bull", F25, AVERAGE(E25,F25)),
 IF('Report Summary'!$B$10="Neutral", E25, "")))</f>
        <v>1.4500000000000001E-2</v>
      </c>
      <c r="I25" s="65" t="s">
        <v>73</v>
      </c>
      <c r="J25" s="65"/>
      <c r="K25" s="65">
        <f>SUM(K16:K24)</f>
        <v>602.23437269515068</v>
      </c>
      <c r="M25" s="16" t="s">
        <v>13</v>
      </c>
      <c r="O25" s="43">
        <f>O22+O23-O24</f>
        <v>156197.70000000001</v>
      </c>
    </row>
    <row r="26" spans="2:26" ht="15.75" thickBot="1" x14ac:dyDescent="0.3">
      <c r="B26" s="51" t="s">
        <v>44</v>
      </c>
      <c r="C26" s="52" t="s">
        <v>252</v>
      </c>
      <c r="D26" s="56">
        <v>5.0000000000000001E-3</v>
      </c>
      <c r="E26" s="56">
        <v>0.03</v>
      </c>
      <c r="F26" s="57">
        <v>0.05</v>
      </c>
      <c r="G26" s="90">
        <f>IF(OR('Report Summary'!$B$10="Bear",'Report Summary'!$B$10="Bearish"),
       IF('Report Summary'!$B$10="Bear", D26, AVERAGE(D26,E26)),
 IF(OR('Report Summary'!$B$10="Bull",'Report Summary'!$B$10="Bullish"),
       IF('Report Summary'!$B$10="Bull", F26, AVERAGE(E26,F26)),
 IF('Report Summary'!$B$10="Neutral", E26, "")))</f>
        <v>0.04</v>
      </c>
      <c r="I26" s="65" t="s">
        <v>247</v>
      </c>
      <c r="J26" s="65"/>
      <c r="K26" s="66">
        <f>D11/D9</f>
        <v>33.861181587531718</v>
      </c>
      <c r="M26" s="16" t="s">
        <v>67</v>
      </c>
      <c r="O26" s="62">
        <f>O25/F46</f>
        <v>42.018708553999815</v>
      </c>
      <c r="R26" s="133" t="s">
        <v>229</v>
      </c>
      <c r="S26" s="134"/>
      <c r="T26" s="135" t="s">
        <v>232</v>
      </c>
      <c r="U26" s="135" t="s">
        <v>233</v>
      </c>
      <c r="V26" s="135" t="s">
        <v>234</v>
      </c>
      <c r="W26" s="135" t="s">
        <v>235</v>
      </c>
      <c r="X26" s="135" t="s">
        <v>236</v>
      </c>
      <c r="Y26" s="135" t="s">
        <v>237</v>
      </c>
      <c r="Z26" s="135" t="s">
        <v>238</v>
      </c>
    </row>
    <row r="27" spans="2:26" ht="30.75" thickBot="1" x14ac:dyDescent="0.3">
      <c r="B27" s="51"/>
      <c r="C27" s="55" t="s">
        <v>243</v>
      </c>
      <c r="D27" s="56">
        <v>5.0000000000000001E-3</v>
      </c>
      <c r="E27" s="56">
        <v>0.02</v>
      </c>
      <c r="F27" s="57">
        <v>3.5000000000000003E-2</v>
      </c>
      <c r="G27" s="90">
        <f>IF(OR('Report Summary'!$B$10="Bear",'Report Summary'!$B$10="Bearish"),
       IF('Report Summary'!$B$10="Bear", D27, AVERAGE(D27,E27)),
 IF(OR('Report Summary'!$B$10="Bull",'Report Summary'!$B$10="Bullish"),
       IF('Report Summary'!$B$10="Bull", F27, AVERAGE(E27,F27)),
 IF('Report Summary'!$B$10="Neutral", E27, "")))</f>
        <v>2.7500000000000004E-2</v>
      </c>
      <c r="I27" s="65" t="s">
        <v>248</v>
      </c>
      <c r="J27" s="65"/>
      <c r="K27" s="66">
        <f>D13/D9</f>
        <v>0</v>
      </c>
      <c r="M27" s="16" t="s">
        <v>68</v>
      </c>
      <c r="O27" s="62">
        <f>O25/F45</f>
        <v>4.1427904571193661</v>
      </c>
      <c r="R27" s="183" t="s">
        <v>43</v>
      </c>
      <c r="S27" s="131" t="s">
        <v>239</v>
      </c>
      <c r="T27" s="136">
        <f>G24*F36</f>
        <v>1498.2919999999999</v>
      </c>
      <c r="U27" s="136">
        <v>0.04</v>
      </c>
      <c r="V27" s="136">
        <v>0.04</v>
      </c>
      <c r="W27" s="136">
        <v>0.04</v>
      </c>
      <c r="X27" s="136">
        <v>0.04</v>
      </c>
      <c r="Y27" s="136">
        <v>0.04</v>
      </c>
      <c r="Z27" s="136">
        <v>0.04</v>
      </c>
    </row>
    <row r="28" spans="2:26" ht="15.75" thickBot="1" x14ac:dyDescent="0.3">
      <c r="B28" s="51" t="s">
        <v>45</v>
      </c>
      <c r="C28" s="52" t="s">
        <v>252</v>
      </c>
      <c r="D28" s="56">
        <v>7.0000000000000007E-2</v>
      </c>
      <c r="E28" s="56">
        <v>0.1</v>
      </c>
      <c r="F28" s="57">
        <v>0.13500000000000001</v>
      </c>
      <c r="G28" s="90">
        <f>IF(OR('Report Summary'!$B$10="Bear",'Report Summary'!$B$10="Bearish"),
       IF('Report Summary'!$B$10="Bear", D28, AVERAGE(D28,E28)),
 IF(OR('Report Summary'!$B$10="Bull",'Report Summary'!$B$10="Bullish"),
       IF('Report Summary'!$B$10="Bull", F28, AVERAGE(E28,F28)),
 IF('Report Summary'!$B$10="Neutral", E28, "")))</f>
        <v>0.11750000000000001</v>
      </c>
      <c r="I28" s="65" t="s">
        <v>8</v>
      </c>
      <c r="J28" s="65"/>
      <c r="K28" s="87">
        <f>K25+K26-K27</f>
        <v>636.09555428268243</v>
      </c>
      <c r="M28" s="16" t="s">
        <v>10</v>
      </c>
      <c r="O28" s="62">
        <f>D8</f>
        <v>600</v>
      </c>
      <c r="R28" s="184"/>
      <c r="S28" s="132" t="s">
        <v>53</v>
      </c>
      <c r="T28" s="56">
        <v>6.5000000000000002E-2</v>
      </c>
      <c r="U28" s="56">
        <v>6.5000000000000002E-2</v>
      </c>
      <c r="V28" s="56">
        <v>6.5000000000000002E-2</v>
      </c>
      <c r="W28" s="56">
        <v>6.5000000000000002E-2</v>
      </c>
      <c r="X28" s="56">
        <v>6.5000000000000002E-2</v>
      </c>
      <c r="Y28" s="56">
        <v>6.5000000000000002E-2</v>
      </c>
      <c r="Z28" s="56">
        <v>6.5000000000000002E-2</v>
      </c>
    </row>
    <row r="29" spans="2:26" ht="30.75" thickBot="1" x14ac:dyDescent="0.3">
      <c r="B29" s="59"/>
      <c r="C29" s="55" t="s">
        <v>243</v>
      </c>
      <c r="D29" s="56">
        <v>0.01</v>
      </c>
      <c r="E29" s="56">
        <v>1.4999999999999999E-2</v>
      </c>
      <c r="F29" s="57">
        <v>0.02</v>
      </c>
      <c r="G29" s="90">
        <f>IF(OR('Report Summary'!$B$10="Bear",'Report Summary'!$B$10="Bearish"),
       IF('Report Summary'!$B$10="Bear", D29, AVERAGE(D29,E29)),
 IF(OR('Report Summary'!$B$10="Bull",'Report Summary'!$B$10="Bullish"),
       IF('Report Summary'!$B$10="Bull", F29, AVERAGE(E29,F29)),
 IF('Report Summary'!$B$10="Neutral", E29, "")))</f>
        <v>1.7500000000000002E-2</v>
      </c>
    </row>
    <row r="30" spans="2:26" x14ac:dyDescent="0.25">
      <c r="D30" s="16"/>
    </row>
    <row r="31" spans="2:26" x14ac:dyDescent="0.25">
      <c r="D31" s="16"/>
    </row>
    <row r="32" spans="2:26" x14ac:dyDescent="0.25">
      <c r="B32" s="30" t="s">
        <v>27</v>
      </c>
      <c r="C32" s="141" t="str">
        <f>G23</f>
        <v>Bullish</v>
      </c>
      <c r="D32" s="32">
        <v>2023</v>
      </c>
      <c r="E32" s="32" t="s">
        <v>74</v>
      </c>
      <c r="F32" s="32" t="s">
        <v>48</v>
      </c>
      <c r="G32" s="32" t="s">
        <v>49</v>
      </c>
      <c r="H32" s="32" t="s">
        <v>50</v>
      </c>
      <c r="I32" s="32" t="s">
        <v>51</v>
      </c>
      <c r="J32" s="32" t="s">
        <v>52</v>
      </c>
      <c r="K32" s="32" t="s">
        <v>223</v>
      </c>
      <c r="L32" s="32" t="s">
        <v>224</v>
      </c>
      <c r="M32" s="32" t="s">
        <v>225</v>
      </c>
      <c r="N32" s="32">
        <v>2033</v>
      </c>
    </row>
    <row r="33" spans="2:22" x14ac:dyDescent="0.25">
      <c r="B33" s="33" t="s">
        <v>25</v>
      </c>
      <c r="C33" s="33"/>
      <c r="D33" s="34" t="s">
        <v>31</v>
      </c>
      <c r="E33" s="35">
        <v>45657</v>
      </c>
      <c r="F33" s="35">
        <v>46022</v>
      </c>
      <c r="G33" s="34">
        <v>46387</v>
      </c>
      <c r="H33" s="35">
        <v>46752</v>
      </c>
      <c r="I33" s="35">
        <v>47118</v>
      </c>
      <c r="J33" s="35">
        <v>47483</v>
      </c>
      <c r="K33" s="35">
        <v>47848</v>
      </c>
      <c r="L33" s="35">
        <v>48213</v>
      </c>
      <c r="M33" s="34">
        <v>48579</v>
      </c>
      <c r="N33" s="35">
        <v>48944</v>
      </c>
    </row>
    <row r="34" spans="2:22" x14ac:dyDescent="0.25">
      <c r="B34" s="37" t="s">
        <v>24</v>
      </c>
      <c r="C34" s="37"/>
      <c r="D34" s="38">
        <v>-2</v>
      </c>
      <c r="E34" s="38">
        <v>-1</v>
      </c>
      <c r="F34" s="38">
        <f>E34+1</f>
        <v>0</v>
      </c>
      <c r="G34" s="38">
        <f>F34+1</f>
        <v>1</v>
      </c>
      <c r="H34" s="38">
        <f>G34+1</f>
        <v>2</v>
      </c>
      <c r="I34" s="38">
        <f t="shared" ref="I34:M34" si="0">H34+1</f>
        <v>3</v>
      </c>
      <c r="J34" s="38">
        <f t="shared" si="0"/>
        <v>4</v>
      </c>
      <c r="K34" s="38">
        <f t="shared" si="0"/>
        <v>5</v>
      </c>
      <c r="L34" s="38">
        <f t="shared" si="0"/>
        <v>6</v>
      </c>
      <c r="M34" s="38">
        <f t="shared" si="0"/>
        <v>7</v>
      </c>
      <c r="N34" s="39" t="s">
        <v>47</v>
      </c>
    </row>
    <row r="35" spans="2:22" x14ac:dyDescent="0.25">
      <c r="B35" s="30" t="s">
        <v>32</v>
      </c>
      <c r="C35" s="31" t="s">
        <v>46</v>
      </c>
      <c r="D35" s="41"/>
      <c r="E35" s="38"/>
      <c r="F35" s="38"/>
      <c r="G35" s="38"/>
      <c r="H35" s="38"/>
      <c r="I35" s="38"/>
      <c r="J35" s="38"/>
      <c r="K35" s="38"/>
      <c r="L35" s="38"/>
      <c r="M35" s="38"/>
      <c r="N35" s="42"/>
      <c r="O35" s="60"/>
      <c r="R35" s="65"/>
      <c r="S35" s="65"/>
      <c r="T35" s="65"/>
      <c r="U35" s="65"/>
      <c r="V35" s="65"/>
    </row>
    <row r="36" spans="2:22" s="65" customFormat="1" x14ac:dyDescent="0.25">
      <c r="B36" s="44" t="s">
        <v>33</v>
      </c>
      <c r="C36" s="45" t="s">
        <v>36</v>
      </c>
      <c r="D36" s="138">
        <v>17436</v>
      </c>
      <c r="E36" s="138">
        <v>18127</v>
      </c>
      <c r="F36" s="138">
        <v>19332.8</v>
      </c>
      <c r="G36" s="138">
        <f t="shared" ref="G36:M36" si="1">F36*(1+$G$24)</f>
        <v>20831.091999999997</v>
      </c>
      <c r="H36" s="138">
        <f t="shared" si="1"/>
        <v>22445.501629999995</v>
      </c>
      <c r="I36" s="138">
        <f t="shared" si="1"/>
        <v>24185.028006324992</v>
      </c>
      <c r="J36" s="138">
        <f t="shared" si="1"/>
        <v>26059.367676815178</v>
      </c>
      <c r="K36" s="138">
        <f t="shared" si="1"/>
        <v>28078.968671768351</v>
      </c>
      <c r="L36" s="138">
        <f t="shared" si="1"/>
        <v>30255.088743830394</v>
      </c>
      <c r="M36" s="138">
        <f t="shared" si="1"/>
        <v>32599.858121477246</v>
      </c>
      <c r="N36" s="42"/>
      <c r="R36" s="16"/>
      <c r="S36" s="16"/>
      <c r="T36" s="16"/>
      <c r="U36" s="16"/>
      <c r="V36" s="16"/>
    </row>
    <row r="37" spans="2:22" x14ac:dyDescent="0.25">
      <c r="B37" s="46">
        <v>0.14000000000000001</v>
      </c>
      <c r="C37" s="45" t="s">
        <v>37</v>
      </c>
      <c r="D37" s="138">
        <v>1722</v>
      </c>
      <c r="E37" s="138">
        <v>2268</v>
      </c>
      <c r="F37" s="138">
        <f>F36*B37</f>
        <v>2706.5920000000001</v>
      </c>
      <c r="G37" s="138">
        <f>G38*G36</f>
        <v>3218.403714</v>
      </c>
      <c r="H37" s="138">
        <f t="shared" ref="H37:M37" si="2">H38*H36</f>
        <v>3793.2897754700002</v>
      </c>
      <c r="I37" s="138">
        <f t="shared" si="2"/>
        <v>4437.9526391606369</v>
      </c>
      <c r="J37" s="138">
        <f t="shared" si="2"/>
        <v>5159.7548000094066</v>
      </c>
      <c r="K37" s="138">
        <f t="shared" si="2"/>
        <v>5966.7808427507771</v>
      </c>
      <c r="L37" s="138">
        <f t="shared" si="2"/>
        <v>6867.905144849502</v>
      </c>
      <c r="M37" s="138">
        <f t="shared" si="2"/>
        <v>7872.8657363367583</v>
      </c>
      <c r="N37" s="42"/>
    </row>
    <row r="38" spans="2:22" x14ac:dyDescent="0.25">
      <c r="B38" s="46"/>
      <c r="C38" s="97" t="s">
        <v>130</v>
      </c>
      <c r="D38" s="96">
        <f>D37/D36</f>
        <v>9.8761183757742607E-2</v>
      </c>
      <c r="E38" s="96">
        <f t="shared" ref="E38:F38" si="3">E37/E36</f>
        <v>0.12511722844375792</v>
      </c>
      <c r="F38" s="96">
        <f t="shared" si="3"/>
        <v>0.14000000000000001</v>
      </c>
      <c r="G38" s="96">
        <f>F38+$G$25</f>
        <v>0.15450000000000003</v>
      </c>
      <c r="H38" s="96">
        <f t="shared" ref="H38:M38" si="4">G38+$G$25</f>
        <v>0.16900000000000004</v>
      </c>
      <c r="I38" s="96">
        <f t="shared" si="4"/>
        <v>0.18350000000000005</v>
      </c>
      <c r="J38" s="96">
        <f t="shared" si="4"/>
        <v>0.19800000000000006</v>
      </c>
      <c r="K38" s="96">
        <f t="shared" si="4"/>
        <v>0.21250000000000008</v>
      </c>
      <c r="L38" s="96">
        <f t="shared" si="4"/>
        <v>0.22700000000000009</v>
      </c>
      <c r="M38" s="96">
        <f t="shared" si="4"/>
        <v>0.2415000000000001</v>
      </c>
      <c r="N38" s="42"/>
    </row>
    <row r="39" spans="2:22" x14ac:dyDescent="0.25">
      <c r="B39" s="44" t="s">
        <v>34</v>
      </c>
      <c r="C39" s="45" t="s">
        <v>36</v>
      </c>
      <c r="D39" s="138">
        <v>9826</v>
      </c>
      <c r="E39" s="138">
        <v>9701</v>
      </c>
      <c r="F39" s="138">
        <v>8948</v>
      </c>
      <c r="G39" s="138">
        <f t="shared" ref="G39:M39" si="5">F39*(1+$G$26)</f>
        <v>9305.92</v>
      </c>
      <c r="H39" s="138">
        <f t="shared" si="5"/>
        <v>9678.1568000000007</v>
      </c>
      <c r="I39" s="138">
        <f t="shared" si="5"/>
        <v>10065.283072</v>
      </c>
      <c r="J39" s="138">
        <f t="shared" si="5"/>
        <v>10467.894394880001</v>
      </c>
      <c r="K39" s="138">
        <f t="shared" si="5"/>
        <v>10886.610170675202</v>
      </c>
      <c r="L39" s="138">
        <f t="shared" si="5"/>
        <v>11322.07457750221</v>
      </c>
      <c r="M39" s="138">
        <f t="shared" si="5"/>
        <v>11774.957560602299</v>
      </c>
      <c r="N39" s="42"/>
    </row>
    <row r="40" spans="2:22" x14ac:dyDescent="0.25">
      <c r="B40" s="47">
        <v>-4.4999999999999998E-2</v>
      </c>
      <c r="C40" s="45" t="s">
        <v>37</v>
      </c>
      <c r="D40" s="138">
        <v>-1033</v>
      </c>
      <c r="E40" s="138">
        <v>-588</v>
      </c>
      <c r="F40" s="138">
        <f>F39*B40</f>
        <v>-402.65999999999997</v>
      </c>
      <c r="G40" s="138">
        <f>G41*G39</f>
        <v>-162.85359999999994</v>
      </c>
      <c r="H40" s="138">
        <f t="shared" ref="H40:M40" si="6">H41*H39</f>
        <v>96.781568000000092</v>
      </c>
      <c r="I40" s="138">
        <f t="shared" si="6"/>
        <v>377.44811520000013</v>
      </c>
      <c r="J40" s="138">
        <f t="shared" si="6"/>
        <v>680.41313566720021</v>
      </c>
      <c r="K40" s="138">
        <f t="shared" si="6"/>
        <v>1007.0114407874564</v>
      </c>
      <c r="L40" s="138">
        <f t="shared" si="6"/>
        <v>1358.6489493002655</v>
      </c>
      <c r="M40" s="138">
        <f t="shared" si="6"/>
        <v>1736.8062401888394</v>
      </c>
      <c r="N40" s="42"/>
    </row>
    <row r="41" spans="2:22" x14ac:dyDescent="0.25">
      <c r="B41" s="47"/>
      <c r="C41" s="97" t="s">
        <v>130</v>
      </c>
      <c r="D41" s="96">
        <f>D40/D39</f>
        <v>-0.10512924893140647</v>
      </c>
      <c r="E41" s="96">
        <f t="shared" ref="E41:F41" si="7">E40/E39</f>
        <v>-6.0612308009483556E-2</v>
      </c>
      <c r="F41" s="96">
        <f t="shared" si="7"/>
        <v>-4.4999999999999998E-2</v>
      </c>
      <c r="G41" s="96">
        <f>F41+$G$27</f>
        <v>-1.7499999999999995E-2</v>
      </c>
      <c r="H41" s="96">
        <f t="shared" ref="H41:M41" si="8">G41+$G$27</f>
        <v>1.0000000000000009E-2</v>
      </c>
      <c r="I41" s="96">
        <f t="shared" si="8"/>
        <v>3.7500000000000012E-2</v>
      </c>
      <c r="J41" s="96">
        <f t="shared" si="8"/>
        <v>6.5000000000000016E-2</v>
      </c>
      <c r="K41" s="96">
        <f t="shared" si="8"/>
        <v>9.2500000000000027E-2</v>
      </c>
      <c r="L41" s="96">
        <f t="shared" si="8"/>
        <v>0.12000000000000002</v>
      </c>
      <c r="M41" s="96">
        <f t="shared" si="8"/>
        <v>0.14750000000000002</v>
      </c>
      <c r="N41" s="42"/>
    </row>
    <row r="42" spans="2:22" x14ac:dyDescent="0.25">
      <c r="B42" s="44" t="s">
        <v>35</v>
      </c>
      <c r="C42" s="45" t="s">
        <v>36</v>
      </c>
      <c r="D42" s="138">
        <v>6378</v>
      </c>
      <c r="E42" s="138">
        <v>7549</v>
      </c>
      <c r="F42" s="138">
        <v>9422.7000000000007</v>
      </c>
      <c r="G42" s="138">
        <f t="shared" ref="G42:M42" si="9">F42*(1+$G$28)</f>
        <v>10529.867249999999</v>
      </c>
      <c r="H42" s="138">
        <f t="shared" si="9"/>
        <v>11767.126651874998</v>
      </c>
      <c r="I42" s="138">
        <f t="shared" si="9"/>
        <v>13149.76403347031</v>
      </c>
      <c r="J42" s="138">
        <f t="shared" si="9"/>
        <v>14694.861307403071</v>
      </c>
      <c r="K42" s="138">
        <f t="shared" si="9"/>
        <v>16421.50751102293</v>
      </c>
      <c r="L42" s="138">
        <f t="shared" si="9"/>
        <v>18351.034643568124</v>
      </c>
      <c r="M42" s="138">
        <f t="shared" si="9"/>
        <v>20507.281214187376</v>
      </c>
      <c r="N42" s="42"/>
    </row>
    <row r="43" spans="2:22" x14ac:dyDescent="0.25">
      <c r="B43" s="50">
        <v>0.15</v>
      </c>
      <c r="C43" s="45" t="s">
        <v>37</v>
      </c>
      <c r="D43" s="138">
        <v>234</v>
      </c>
      <c r="E43" s="138">
        <v>679</v>
      </c>
      <c r="F43" s="138">
        <f>F42*B43</f>
        <v>1413.405</v>
      </c>
      <c r="G43" s="138">
        <f>G44*G42</f>
        <v>1763.7527643749997</v>
      </c>
      <c r="H43" s="138">
        <f t="shared" ref="H43:M43" si="10">H44*H42</f>
        <v>2176.9184305968747</v>
      </c>
      <c r="I43" s="138">
        <f t="shared" si="10"/>
        <v>2662.8272167777382</v>
      </c>
      <c r="J43" s="138">
        <f t="shared" si="10"/>
        <v>3232.8694876286759</v>
      </c>
      <c r="K43" s="138">
        <f t="shared" si="10"/>
        <v>3900.1080338679467</v>
      </c>
      <c r="L43" s="138">
        <f t="shared" si="10"/>
        <v>4679.5138341098727</v>
      </c>
      <c r="M43" s="138">
        <f t="shared" si="10"/>
        <v>5588.2341308660616</v>
      </c>
      <c r="N43" s="42"/>
    </row>
    <row r="44" spans="2:22" x14ac:dyDescent="0.25">
      <c r="B44" s="50"/>
      <c r="C44" s="97" t="s">
        <v>130</v>
      </c>
      <c r="D44" s="96">
        <f>D43/D42</f>
        <v>3.6688617121354655E-2</v>
      </c>
      <c r="E44" s="96">
        <f t="shared" ref="E44:F44" si="11">E43/E42</f>
        <v>8.9945688170618626E-2</v>
      </c>
      <c r="F44" s="96">
        <f t="shared" si="11"/>
        <v>0.15</v>
      </c>
      <c r="G44" s="96">
        <f>F44+$G$29</f>
        <v>0.16749999999999998</v>
      </c>
      <c r="H44" s="96">
        <f t="shared" ref="H44:M44" si="12">G44+$G$29</f>
        <v>0.185</v>
      </c>
      <c r="I44" s="96">
        <f t="shared" si="12"/>
        <v>0.20250000000000001</v>
      </c>
      <c r="J44" s="96">
        <f t="shared" si="12"/>
        <v>0.22000000000000003</v>
      </c>
      <c r="K44" s="96">
        <f t="shared" si="12"/>
        <v>0.23750000000000004</v>
      </c>
      <c r="L44" s="96">
        <f t="shared" si="12"/>
        <v>0.25500000000000006</v>
      </c>
      <c r="M44" s="96">
        <f t="shared" si="12"/>
        <v>0.27250000000000008</v>
      </c>
      <c r="N44" s="42"/>
    </row>
    <row r="45" spans="2:22" x14ac:dyDescent="0.25">
      <c r="B45" s="16" t="s">
        <v>133</v>
      </c>
      <c r="C45" s="98"/>
      <c r="D45" s="107">
        <f>SUM(D42,D39,D36)</f>
        <v>33640</v>
      </c>
      <c r="E45" s="107">
        <f t="shared" ref="E45:J45" si="13">SUM(E42,E39,E36)</f>
        <v>35377</v>
      </c>
      <c r="F45" s="107">
        <f t="shared" si="13"/>
        <v>37703.5</v>
      </c>
      <c r="G45" s="107">
        <f t="shared" si="13"/>
        <v>40666.879249999998</v>
      </c>
      <c r="H45" s="107">
        <f t="shared" si="13"/>
        <v>43890.785081874994</v>
      </c>
      <c r="I45" s="107">
        <f t="shared" si="13"/>
        <v>47400.075111795304</v>
      </c>
      <c r="J45" s="107">
        <f t="shared" si="13"/>
        <v>51222.123379098251</v>
      </c>
      <c r="K45" s="107">
        <f t="shared" ref="K45:M45" si="14">SUM(K42,K39,K36)</f>
        <v>55387.086353466482</v>
      </c>
      <c r="L45" s="107">
        <f t="shared" si="14"/>
        <v>59928.197964900726</v>
      </c>
      <c r="M45" s="107">
        <f t="shared" si="14"/>
        <v>64882.096896266921</v>
      </c>
      <c r="N45" s="42"/>
    </row>
    <row r="46" spans="2:22" x14ac:dyDescent="0.25">
      <c r="B46" s="16" t="s">
        <v>38</v>
      </c>
      <c r="D46" s="33">
        <f t="shared" ref="D46:J46" si="15">D43+D40+D37</f>
        <v>923</v>
      </c>
      <c r="E46" s="33">
        <f t="shared" si="15"/>
        <v>2359</v>
      </c>
      <c r="F46" s="33">
        <f t="shared" si="15"/>
        <v>3717.337</v>
      </c>
      <c r="G46" s="33">
        <f t="shared" si="15"/>
        <v>4819.3028783749996</v>
      </c>
      <c r="H46" s="33">
        <f t="shared" si="15"/>
        <v>6066.9897740668748</v>
      </c>
      <c r="I46" s="33">
        <f t="shared" si="15"/>
        <v>7478.2279711383753</v>
      </c>
      <c r="J46" s="33">
        <f t="shared" si="15"/>
        <v>9073.0374233052826</v>
      </c>
      <c r="K46" s="33">
        <f t="shared" ref="K46:M46" si="16">K43+K40+K37</f>
        <v>10873.90031740618</v>
      </c>
      <c r="L46" s="33">
        <f t="shared" si="16"/>
        <v>12906.067928259639</v>
      </c>
      <c r="M46" s="33">
        <f t="shared" si="16"/>
        <v>15197.90610739166</v>
      </c>
    </row>
    <row r="47" spans="2:22" x14ac:dyDescent="0.25">
      <c r="C47" s="97" t="s">
        <v>130</v>
      </c>
      <c r="D47" s="139">
        <f>D46/D45</f>
        <v>2.7437574316290132E-2</v>
      </c>
      <c r="E47" s="139">
        <f t="shared" ref="E47:M47" si="17">E46/E45</f>
        <v>6.6681742374989403E-2</v>
      </c>
      <c r="F47" s="139">
        <f t="shared" si="17"/>
        <v>9.8593950163777894E-2</v>
      </c>
      <c r="G47" s="139">
        <f t="shared" si="17"/>
        <v>0.11850682833930513</v>
      </c>
      <c r="H47" s="139">
        <f t="shared" si="17"/>
        <v>0.13822923793113651</v>
      </c>
      <c r="I47" s="139">
        <f t="shared" si="17"/>
        <v>0.15776827259240883</v>
      </c>
      <c r="J47" s="139">
        <f t="shared" si="17"/>
        <v>0.17713122425939171</v>
      </c>
      <c r="K47" s="139">
        <f t="shared" si="17"/>
        <v>0.19632555227786633</v>
      </c>
      <c r="L47" s="139">
        <f t="shared" si="17"/>
        <v>0.21535885220207321</v>
      </c>
      <c r="M47" s="139">
        <f t="shared" si="17"/>
        <v>0.23423882448944236</v>
      </c>
      <c r="N47" s="140"/>
    </row>
    <row r="48" spans="2:22" x14ac:dyDescent="0.25">
      <c r="B48" s="181" t="s">
        <v>58</v>
      </c>
      <c r="C48" s="181"/>
      <c r="D48" s="33">
        <v>1100</v>
      </c>
      <c r="E48" s="33">
        <v>1100</v>
      </c>
      <c r="F48" s="33">
        <v>1100</v>
      </c>
      <c r="G48" s="33">
        <v>1100</v>
      </c>
      <c r="H48" s="33">
        <v>1100</v>
      </c>
      <c r="I48" s="33">
        <v>1100</v>
      </c>
      <c r="J48" s="33">
        <v>1100</v>
      </c>
      <c r="K48" s="33">
        <v>1101</v>
      </c>
      <c r="L48" s="33">
        <v>1102</v>
      </c>
      <c r="M48" s="33">
        <v>1103</v>
      </c>
    </row>
    <row r="49" spans="1:22" x14ac:dyDescent="0.25">
      <c r="B49" s="58" t="s">
        <v>21</v>
      </c>
      <c r="C49" s="58"/>
      <c r="D49" s="33">
        <f t="shared" ref="D49:M49" si="18">D46-D48</f>
        <v>-177</v>
      </c>
      <c r="E49" s="33">
        <f t="shared" si="18"/>
        <v>1259</v>
      </c>
      <c r="F49" s="33">
        <f t="shared" si="18"/>
        <v>2617.337</v>
      </c>
      <c r="G49" s="33">
        <f t="shared" si="18"/>
        <v>3719.3028783749996</v>
      </c>
      <c r="H49" s="33">
        <f t="shared" si="18"/>
        <v>4966.9897740668748</v>
      </c>
      <c r="I49" s="33">
        <f t="shared" si="18"/>
        <v>6378.2279711383753</v>
      </c>
      <c r="J49" s="33">
        <f t="shared" si="18"/>
        <v>7973.0374233052826</v>
      </c>
      <c r="K49" s="33">
        <f t="shared" si="18"/>
        <v>9772.90031740618</v>
      </c>
      <c r="L49" s="33">
        <f t="shared" si="18"/>
        <v>11804.067928259639</v>
      </c>
      <c r="M49" s="33">
        <f t="shared" si="18"/>
        <v>14094.90610739166</v>
      </c>
    </row>
    <row r="50" spans="1:22" x14ac:dyDescent="0.25">
      <c r="B50" s="181" t="s">
        <v>20</v>
      </c>
      <c r="C50" s="181"/>
      <c r="D50" s="40">
        <f>D49*$D$4</f>
        <v>-38.94</v>
      </c>
      <c r="E50" s="40">
        <f t="shared" ref="E50:J50" si="19">E49*$D$4</f>
        <v>276.98</v>
      </c>
      <c r="F50" s="40">
        <f t="shared" si="19"/>
        <v>575.81413999999995</v>
      </c>
      <c r="G50" s="40">
        <f t="shared" si="19"/>
        <v>818.24663324249991</v>
      </c>
      <c r="H50" s="40">
        <f t="shared" si="19"/>
        <v>1092.7377502947124</v>
      </c>
      <c r="I50" s="40">
        <f t="shared" si="19"/>
        <v>1403.2101536504426</v>
      </c>
      <c r="J50" s="40">
        <f t="shared" si="19"/>
        <v>1754.0682331271621</v>
      </c>
      <c r="K50" s="40">
        <f t="shared" ref="K50:M50" si="20">K49*$D$4</f>
        <v>2150.0380698293598</v>
      </c>
      <c r="L50" s="40">
        <f t="shared" si="20"/>
        <v>2596.8949442171206</v>
      </c>
      <c r="M50" s="40">
        <f t="shared" si="20"/>
        <v>3100.8793436261653</v>
      </c>
    </row>
    <row r="51" spans="1:22" x14ac:dyDescent="0.25">
      <c r="B51" s="181" t="s">
        <v>19</v>
      </c>
      <c r="C51" s="181"/>
      <c r="D51" s="40">
        <f>D48</f>
        <v>1100</v>
      </c>
      <c r="E51" s="40">
        <f t="shared" ref="E51:J51" si="21">E48</f>
        <v>1100</v>
      </c>
      <c r="F51" s="40">
        <f t="shared" si="21"/>
        <v>1100</v>
      </c>
      <c r="G51" s="40">
        <f t="shared" si="21"/>
        <v>1100</v>
      </c>
      <c r="H51" s="40">
        <f t="shared" si="21"/>
        <v>1100</v>
      </c>
      <c r="I51" s="40">
        <f t="shared" si="21"/>
        <v>1100</v>
      </c>
      <c r="J51" s="40">
        <f t="shared" si="21"/>
        <v>1100</v>
      </c>
      <c r="K51" s="40">
        <f t="shared" ref="K51:M51" si="22">K48</f>
        <v>1101</v>
      </c>
      <c r="L51" s="40">
        <f t="shared" si="22"/>
        <v>1102</v>
      </c>
      <c r="M51" s="40">
        <f t="shared" si="22"/>
        <v>1103</v>
      </c>
    </row>
    <row r="52" spans="1:22" x14ac:dyDescent="0.25">
      <c r="B52" s="181" t="s">
        <v>59</v>
      </c>
      <c r="C52" s="181"/>
      <c r="D52" s="16">
        <f t="shared" ref="D52:M52" si="23">$D$14</f>
        <v>1419.95</v>
      </c>
      <c r="E52" s="16">
        <f t="shared" si="23"/>
        <v>1419.95</v>
      </c>
      <c r="F52" s="16">
        <f t="shared" si="23"/>
        <v>1419.95</v>
      </c>
      <c r="G52" s="16">
        <f t="shared" si="23"/>
        <v>1419.95</v>
      </c>
      <c r="H52" s="16">
        <f t="shared" si="23"/>
        <v>1419.95</v>
      </c>
      <c r="I52" s="16">
        <f t="shared" si="23"/>
        <v>1419.95</v>
      </c>
      <c r="J52" s="16">
        <f t="shared" si="23"/>
        <v>1419.95</v>
      </c>
      <c r="K52" s="16">
        <f t="shared" si="23"/>
        <v>1419.95</v>
      </c>
      <c r="L52" s="16">
        <f t="shared" si="23"/>
        <v>1419.95</v>
      </c>
      <c r="M52" s="16">
        <f t="shared" si="23"/>
        <v>1419.95</v>
      </c>
    </row>
    <row r="53" spans="1:22" x14ac:dyDescent="0.25">
      <c r="B53" s="181" t="s">
        <v>80</v>
      </c>
      <c r="C53" s="181"/>
      <c r="D53" s="16">
        <v>-1627</v>
      </c>
      <c r="E53" s="16">
        <v>-1273</v>
      </c>
      <c r="F53" s="16">
        <v>517</v>
      </c>
      <c r="G53" s="16">
        <v>-1002.9</v>
      </c>
      <c r="H53" s="16">
        <v>-1796.3</v>
      </c>
      <c r="I53" s="16">
        <v>-1686</v>
      </c>
      <c r="J53" s="16">
        <v>-2519.5</v>
      </c>
      <c r="K53" s="16">
        <v>-1828</v>
      </c>
      <c r="L53" s="16">
        <v>-784.6</v>
      </c>
      <c r="M53" s="16">
        <v>-904.9</v>
      </c>
    </row>
    <row r="54" spans="1:22" x14ac:dyDescent="0.25">
      <c r="D54" s="16"/>
    </row>
    <row r="55" spans="1:22" x14ac:dyDescent="0.25">
      <c r="B55" s="65" t="s">
        <v>81</v>
      </c>
      <c r="C55" s="65"/>
      <c r="D55" s="73">
        <f t="shared" ref="D55:J55" si="24">D49-D50+D51-D52-E53</f>
        <v>814.99</v>
      </c>
      <c r="E55" s="73">
        <f t="shared" si="24"/>
        <v>145.06999999999994</v>
      </c>
      <c r="F55" s="73">
        <f t="shared" si="24"/>
        <v>2724.4728599999999</v>
      </c>
      <c r="G55" s="73">
        <f t="shared" si="24"/>
        <v>4377.4062451324999</v>
      </c>
      <c r="H55" s="73">
        <f t="shared" si="24"/>
        <v>5240.3020237721621</v>
      </c>
      <c r="I55" s="73">
        <f t="shared" si="24"/>
        <v>7174.5678174879331</v>
      </c>
      <c r="J55" s="73">
        <f t="shared" si="24"/>
        <v>7727.0191901781209</v>
      </c>
      <c r="K55" s="73">
        <f>K49-K50+K51-K52-K53</f>
        <v>9131.9122475768199</v>
      </c>
      <c r="L55" s="73">
        <f t="shared" ref="L55:M55" si="25">L49-L50+L51-L52-L53</f>
        <v>9673.8229840425174</v>
      </c>
      <c r="M55" s="73">
        <f t="shared" si="25"/>
        <v>11581.976763765493</v>
      </c>
      <c r="N55" s="73">
        <f>K13</f>
        <v>210978.19360939765</v>
      </c>
    </row>
    <row r="56" spans="1:22" x14ac:dyDescent="0.25">
      <c r="L56" s="13"/>
      <c r="M56" s="13"/>
      <c r="R56" s="108"/>
      <c r="S56" s="108"/>
      <c r="T56" s="108"/>
      <c r="U56" s="108"/>
      <c r="V56" s="108"/>
    </row>
    <row r="57" spans="1:22" s="108" customFormat="1" x14ac:dyDescent="0.25">
      <c r="A57" s="108" t="s">
        <v>135</v>
      </c>
      <c r="B57" s="16"/>
      <c r="C57" s="16"/>
      <c r="D57" s="60"/>
      <c r="E57" s="16"/>
      <c r="F57" s="16"/>
      <c r="G57" s="16"/>
      <c r="H57" s="16"/>
      <c r="I57" s="16"/>
      <c r="J57" s="16"/>
      <c r="K57" s="16"/>
      <c r="L57" s="13"/>
      <c r="M57" s="13"/>
      <c r="N57" s="16"/>
      <c r="R57" s="16"/>
      <c r="S57" s="16"/>
      <c r="T57" s="16"/>
      <c r="U57" s="16"/>
      <c r="V57" s="16"/>
    </row>
    <row r="58" spans="1:22" x14ac:dyDescent="0.25"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3"/>
      <c r="P58" s="13"/>
    </row>
    <row r="59" spans="1:22" x14ac:dyDescent="0.25">
      <c r="L59" s="13"/>
      <c r="M59" s="13"/>
      <c r="N59" s="13"/>
      <c r="O59" s="13"/>
      <c r="P59" s="13"/>
    </row>
    <row r="60" spans="1:22" x14ac:dyDescent="0.25">
      <c r="L60" s="13"/>
      <c r="M60" s="13"/>
      <c r="N60" s="13"/>
      <c r="O60" s="13"/>
      <c r="P60" s="13"/>
    </row>
    <row r="61" spans="1:22" x14ac:dyDescent="0.25">
      <c r="L61" s="13"/>
      <c r="M61" s="13"/>
      <c r="N61" s="13"/>
    </row>
  </sheetData>
  <mergeCells count="10">
    <mergeCell ref="B52:C52"/>
    <mergeCell ref="B53:C53"/>
    <mergeCell ref="B1:C2"/>
    <mergeCell ref="R27:R28"/>
    <mergeCell ref="C3:D3"/>
    <mergeCell ref="B48:C48"/>
    <mergeCell ref="D1:D2"/>
    <mergeCell ref="B22:F22"/>
    <mergeCell ref="B50:C50"/>
    <mergeCell ref="B51:C51"/>
  </mergeCells>
  <phoneticPr fontId="18" type="noConversion"/>
  <pageMargins left="0.70866141732283472" right="0.70866141732283472" top="0.74803149606299213" bottom="0.74803149606299213" header="0.31496062992125984" footer="0.31496062992125984"/>
  <pageSetup scale="78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E6184-6AC6-4A2B-824F-9F74F3729E3B}">
  <sheetPr codeName="Sheet3"/>
  <dimension ref="B1:T51"/>
  <sheetViews>
    <sheetView zoomScale="85" zoomScaleNormal="85" workbookViewId="0">
      <selection activeCell="M24" sqref="M24"/>
    </sheetView>
  </sheetViews>
  <sheetFormatPr defaultRowHeight="15" x14ac:dyDescent="0.25"/>
  <cols>
    <col min="1" max="1" width="9.140625" style="67"/>
    <col min="2" max="2" width="23.85546875" style="67" customWidth="1"/>
    <col min="3" max="3" width="22.7109375" style="67" customWidth="1"/>
    <col min="4" max="4" width="11.85546875" style="67" customWidth="1"/>
    <col min="5" max="5" width="9.5703125" style="67" bestFit="1" customWidth="1"/>
    <col min="6" max="6" width="13.140625" style="67" customWidth="1"/>
    <col min="7" max="10" width="9.140625" style="67"/>
    <col min="11" max="11" width="18" style="67" customWidth="1"/>
    <col min="12" max="12" width="12.85546875" style="67" customWidth="1"/>
    <col min="13" max="16384" width="9.140625" style="67"/>
  </cols>
  <sheetData>
    <row r="1" spans="2:20" ht="15" customHeight="1" x14ac:dyDescent="0.25">
      <c r="B1" s="191" t="s">
        <v>75</v>
      </c>
      <c r="C1" s="191"/>
      <c r="D1" s="191"/>
      <c r="E1" s="103"/>
      <c r="F1" s="103"/>
      <c r="G1" s="103"/>
    </row>
    <row r="2" spans="2:20" ht="15" customHeight="1" x14ac:dyDescent="0.25">
      <c r="B2" s="191"/>
      <c r="C2" s="191"/>
      <c r="D2" s="191"/>
      <c r="E2" s="103"/>
      <c r="F2" s="103"/>
      <c r="G2" s="103"/>
    </row>
    <row r="3" spans="2:20" x14ac:dyDescent="0.25">
      <c r="K3" s="104"/>
      <c r="L3" s="104"/>
      <c r="M3" s="104"/>
      <c r="N3" s="104"/>
      <c r="O3" s="104"/>
      <c r="P3" s="104"/>
      <c r="Q3" s="104"/>
      <c r="R3" s="104"/>
      <c r="S3" s="104"/>
      <c r="T3" s="104"/>
    </row>
    <row r="4" spans="2:20" ht="15.75" x14ac:dyDescent="0.25">
      <c r="B4" s="78"/>
      <c r="C4" s="195" t="s">
        <v>76</v>
      </c>
      <c r="D4" s="195"/>
      <c r="E4" s="78"/>
      <c r="F4" s="195" t="s">
        <v>103</v>
      </c>
      <c r="G4" s="195"/>
      <c r="H4" s="195"/>
      <c r="I4" s="195"/>
      <c r="K4" s="104"/>
      <c r="L4" s="104"/>
      <c r="M4" s="104"/>
      <c r="N4" s="104"/>
      <c r="O4" s="104"/>
      <c r="P4" s="104"/>
      <c r="Q4" s="104"/>
      <c r="R4" s="104"/>
      <c r="S4" s="104"/>
      <c r="T4" s="104"/>
    </row>
    <row r="5" spans="2:20" ht="15.75" x14ac:dyDescent="0.25">
      <c r="B5" s="79"/>
      <c r="C5" s="81"/>
      <c r="D5" s="81"/>
      <c r="E5" s="80"/>
      <c r="F5" s="194" t="s">
        <v>23</v>
      </c>
      <c r="G5" s="194"/>
      <c r="H5" s="194" t="s">
        <v>104</v>
      </c>
      <c r="I5" s="194"/>
      <c r="K5" s="104"/>
      <c r="L5" s="104"/>
      <c r="M5" s="104"/>
      <c r="N5" s="104"/>
      <c r="O5" s="104"/>
      <c r="P5" s="104"/>
      <c r="Q5" s="104"/>
      <c r="R5" s="104"/>
      <c r="S5" s="104"/>
      <c r="T5" s="104"/>
    </row>
    <row r="6" spans="2:20" ht="15.75" x14ac:dyDescent="0.25">
      <c r="B6" s="79" t="s">
        <v>78</v>
      </c>
      <c r="C6" s="100" t="s">
        <v>17</v>
      </c>
      <c r="D6" s="101" t="s">
        <v>77</v>
      </c>
      <c r="E6" s="80"/>
      <c r="F6" s="193" t="s">
        <v>105</v>
      </c>
      <c r="G6" s="193"/>
      <c r="H6" s="193" t="s">
        <v>105</v>
      </c>
      <c r="I6" s="193"/>
      <c r="K6" s="104"/>
      <c r="L6" s="104"/>
      <c r="M6" s="104"/>
      <c r="N6" s="104"/>
      <c r="O6" s="104"/>
      <c r="P6" s="104"/>
      <c r="Q6" s="104"/>
      <c r="R6" s="104"/>
      <c r="S6" s="104"/>
      <c r="T6" s="104"/>
    </row>
    <row r="7" spans="2:20" ht="15.75" x14ac:dyDescent="0.25">
      <c r="B7" s="68" t="s">
        <v>86</v>
      </c>
      <c r="C7" s="70" t="s">
        <v>93</v>
      </c>
      <c r="D7" s="70" t="s">
        <v>92</v>
      </c>
      <c r="E7" s="68"/>
      <c r="F7" s="192">
        <v>18.899999999999999</v>
      </c>
      <c r="G7" s="192"/>
      <c r="H7" s="192">
        <v>4.5999999999999996</v>
      </c>
      <c r="I7" s="192"/>
      <c r="K7" s="104"/>
      <c r="L7" s="104"/>
      <c r="M7" s="104"/>
      <c r="N7" s="104"/>
      <c r="O7" s="104"/>
      <c r="P7" s="104"/>
      <c r="Q7" s="104"/>
      <c r="R7" s="104"/>
      <c r="S7" s="104"/>
      <c r="T7" s="104"/>
    </row>
    <row r="8" spans="2:20" ht="15.75" x14ac:dyDescent="0.25">
      <c r="B8" s="68" t="s">
        <v>87</v>
      </c>
      <c r="C8" s="70" t="s">
        <v>94</v>
      </c>
      <c r="D8" s="70" t="s">
        <v>95</v>
      </c>
      <c r="E8" s="68"/>
      <c r="F8" s="192">
        <v>15.66</v>
      </c>
      <c r="G8" s="192"/>
      <c r="H8" s="192">
        <v>3.4</v>
      </c>
      <c r="I8" s="192"/>
      <c r="K8" s="104"/>
      <c r="L8" s="104"/>
      <c r="M8" s="104"/>
      <c r="N8" s="104"/>
      <c r="O8" s="104"/>
      <c r="P8" s="104"/>
      <c r="Q8" s="104"/>
      <c r="R8" s="104"/>
      <c r="S8" s="104"/>
      <c r="T8" s="104"/>
    </row>
    <row r="9" spans="2:20" ht="15.75" x14ac:dyDescent="0.25">
      <c r="B9" s="68" t="s">
        <v>88</v>
      </c>
      <c r="C9" s="70" t="s">
        <v>96</v>
      </c>
      <c r="D9" s="70" t="s">
        <v>97</v>
      </c>
      <c r="E9" s="68"/>
      <c r="F9" s="192">
        <v>24.85</v>
      </c>
      <c r="G9" s="192"/>
      <c r="H9" s="192">
        <v>5.7</v>
      </c>
      <c r="I9" s="192"/>
      <c r="K9" s="104"/>
      <c r="L9" s="104"/>
      <c r="M9" s="104"/>
      <c r="N9" s="104"/>
      <c r="O9" s="104"/>
      <c r="P9" s="104"/>
      <c r="Q9" s="104"/>
      <c r="R9" s="104"/>
      <c r="S9" s="104"/>
      <c r="T9" s="104"/>
    </row>
    <row r="10" spans="2:20" ht="15.75" x14ac:dyDescent="0.25">
      <c r="B10" s="68" t="s">
        <v>89</v>
      </c>
      <c r="C10" s="70" t="s">
        <v>98</v>
      </c>
      <c r="D10" s="70" t="s">
        <v>99</v>
      </c>
      <c r="E10" s="68"/>
      <c r="F10" s="192">
        <v>11.7</v>
      </c>
      <c r="G10" s="192"/>
      <c r="H10" s="192">
        <v>1.5</v>
      </c>
      <c r="I10" s="192"/>
      <c r="K10" s="104"/>
      <c r="L10" s="104"/>
      <c r="M10" s="104"/>
      <c r="N10" s="104"/>
      <c r="O10" s="104"/>
      <c r="P10" s="104"/>
      <c r="Q10" s="104"/>
      <c r="R10" s="104"/>
      <c r="S10" s="104"/>
      <c r="T10" s="104"/>
    </row>
    <row r="11" spans="2:20" ht="15.75" x14ac:dyDescent="0.25">
      <c r="B11" s="68" t="s">
        <v>90</v>
      </c>
      <c r="C11" s="69" t="s">
        <v>100</v>
      </c>
      <c r="D11" s="69" t="s">
        <v>101</v>
      </c>
      <c r="E11" s="68"/>
      <c r="F11" s="192">
        <v>12.7</v>
      </c>
      <c r="G11" s="192"/>
      <c r="H11" s="192">
        <v>2</v>
      </c>
      <c r="I11" s="192"/>
      <c r="K11" s="104"/>
      <c r="L11" s="104"/>
      <c r="M11" s="104"/>
      <c r="N11" s="104"/>
      <c r="O11" s="104"/>
      <c r="P11" s="104"/>
      <c r="Q11" s="104"/>
      <c r="R11" s="104"/>
      <c r="S11" s="104"/>
      <c r="T11" s="104"/>
    </row>
    <row r="12" spans="2:20" s="77" customFormat="1" ht="15.75" x14ac:dyDescent="0.25">
      <c r="B12" s="76" t="s">
        <v>91</v>
      </c>
      <c r="C12" s="76" t="s">
        <v>245</v>
      </c>
      <c r="D12" s="76" t="s">
        <v>102</v>
      </c>
      <c r="E12" s="76"/>
      <c r="F12" s="203">
        <v>29.57</v>
      </c>
      <c r="G12" s="203"/>
      <c r="H12" s="203">
        <v>3.8</v>
      </c>
      <c r="I12" s="203"/>
      <c r="K12" s="105"/>
      <c r="L12" s="105"/>
      <c r="M12" s="105"/>
      <c r="N12" s="105"/>
      <c r="O12" s="105"/>
      <c r="P12" s="105"/>
      <c r="Q12" s="105"/>
      <c r="R12" s="105"/>
      <c r="S12" s="105"/>
      <c r="T12" s="105"/>
    </row>
    <row r="13" spans="2:20" ht="15.75" x14ac:dyDescent="0.25">
      <c r="B13" s="71"/>
      <c r="C13" s="71"/>
      <c r="D13" s="71"/>
      <c r="E13" s="102" t="s">
        <v>22</v>
      </c>
      <c r="F13" s="204">
        <f>AVERAGE(F7:G12)</f>
        <v>18.896666666666665</v>
      </c>
      <c r="G13" s="204"/>
      <c r="H13" s="204">
        <f>AVERAGE(H7:I12)</f>
        <v>3.5</v>
      </c>
      <c r="I13" s="2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</row>
    <row r="14" spans="2:20" ht="15.75" x14ac:dyDescent="0.25">
      <c r="B14" s="71"/>
      <c r="C14" s="71"/>
      <c r="D14" s="71"/>
      <c r="E14" s="102" t="s">
        <v>79</v>
      </c>
      <c r="F14" s="204">
        <v>17.28</v>
      </c>
      <c r="G14" s="204"/>
      <c r="H14" s="204">
        <v>3.6</v>
      </c>
      <c r="I14" s="2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</row>
    <row r="15" spans="2:20" ht="15" customHeight="1" x14ac:dyDescent="0.25">
      <c r="B15" s="99"/>
      <c r="C15" s="199" t="s">
        <v>106</v>
      </c>
      <c r="D15" s="199"/>
      <c r="E15" s="199"/>
      <c r="F15" s="190">
        <v>0.63</v>
      </c>
      <c r="G15" s="190"/>
      <c r="H15" s="190">
        <v>-0.01</v>
      </c>
      <c r="I15" s="190"/>
      <c r="K15" s="104"/>
      <c r="L15" s="104"/>
      <c r="M15" s="104"/>
      <c r="N15" s="104"/>
      <c r="O15" s="104"/>
      <c r="P15" s="104"/>
      <c r="Q15" s="104"/>
      <c r="R15" s="104"/>
      <c r="S15" s="104"/>
      <c r="T15" s="104"/>
    </row>
    <row r="16" spans="2:20" x14ac:dyDescent="0.25">
      <c r="B16" s="99"/>
      <c r="C16" s="199"/>
      <c r="D16" s="199"/>
      <c r="E16" s="199"/>
      <c r="F16" s="190"/>
      <c r="G16" s="190"/>
      <c r="H16" s="190"/>
      <c r="I16" s="190"/>
      <c r="K16" s="104"/>
      <c r="L16" s="104"/>
      <c r="M16" s="104"/>
      <c r="N16" s="104"/>
      <c r="O16" s="104"/>
      <c r="P16" s="104"/>
      <c r="Q16" s="104"/>
      <c r="R16" s="104"/>
      <c r="S16" s="104"/>
      <c r="T16" s="104"/>
    </row>
    <row r="17" spans="2:20" x14ac:dyDescent="0.25">
      <c r="K17" s="104"/>
      <c r="L17" s="104"/>
      <c r="M17" s="104"/>
      <c r="N17" s="104"/>
      <c r="O17" s="104"/>
      <c r="P17" s="104"/>
      <c r="Q17" s="104"/>
      <c r="R17" s="104"/>
      <c r="S17" s="104"/>
      <c r="T17" s="104"/>
    </row>
    <row r="18" spans="2:20" ht="15.75" thickBot="1" x14ac:dyDescent="0.3">
      <c r="K18" s="104"/>
      <c r="L18" s="104"/>
      <c r="M18" s="104"/>
      <c r="N18" s="104"/>
      <c r="O18" s="104"/>
      <c r="P18" s="104"/>
      <c r="Q18" s="104"/>
      <c r="R18" s="104"/>
      <c r="S18" s="104"/>
      <c r="T18" s="104"/>
    </row>
    <row r="19" spans="2:20" ht="15.75" thickBot="1" x14ac:dyDescent="0.3">
      <c r="B19" s="200" t="s">
        <v>253</v>
      </c>
      <c r="C19" s="201"/>
      <c r="D19" s="201"/>
      <c r="E19" s="202"/>
      <c r="F19" s="85" t="s">
        <v>82</v>
      </c>
      <c r="H19" s="30" t="s">
        <v>12</v>
      </c>
      <c r="I19" s="31"/>
      <c r="J19" s="31"/>
      <c r="K19" s="104"/>
      <c r="L19" s="104"/>
      <c r="M19" s="104"/>
      <c r="N19" s="104"/>
      <c r="O19" s="104"/>
      <c r="P19" s="104"/>
      <c r="Q19" s="104"/>
      <c r="R19" s="104"/>
      <c r="S19" s="104"/>
      <c r="T19" s="104"/>
    </row>
    <row r="20" spans="2:20" ht="15.75" thickBot="1" x14ac:dyDescent="0.3">
      <c r="B20" s="85" t="s">
        <v>109</v>
      </c>
      <c r="C20" s="85" t="s">
        <v>40</v>
      </c>
      <c r="D20" s="85" t="s">
        <v>41</v>
      </c>
      <c r="E20" s="85" t="s">
        <v>42</v>
      </c>
      <c r="F20" s="89" t="str">
        <f>IF('Report Summary'!$B$10="Bear", C20,
IF('Report Summary'!$B$10="Bearish", "Bearish",
IF('Report Summary'!$B$10="Bull", E20,
IF('Report Summary'!$B$10="Bullish", "Bullish",
IF('Report Summary'!$B$10="Neutral", D20, "")))))</f>
        <v>Bullish</v>
      </c>
      <c r="H20" s="16" t="s">
        <v>11</v>
      </c>
      <c r="I20" s="16"/>
      <c r="J20" s="62">
        <f>'Report Summary'!P14</f>
        <v>600</v>
      </c>
      <c r="K20" s="104"/>
      <c r="L20" s="104"/>
      <c r="M20" s="104"/>
      <c r="N20" s="104"/>
      <c r="O20" s="104"/>
      <c r="P20" s="104"/>
      <c r="Q20" s="104"/>
      <c r="R20" s="104"/>
      <c r="S20" s="104"/>
      <c r="T20" s="104"/>
    </row>
    <row r="21" spans="2:20" ht="15.75" thickBot="1" x14ac:dyDescent="0.3">
      <c r="B21" s="67" t="s">
        <v>108</v>
      </c>
      <c r="C21" s="83">
        <v>39255</v>
      </c>
      <c r="D21" s="83">
        <v>41446</v>
      </c>
      <c r="E21" s="83">
        <v>44606</v>
      </c>
      <c r="F21" s="89">
        <f>IF(OR('Report Summary'!$B$10="Bear",'Report Summary'!$B$10="Bearish"),
        IF('Report Summary'!$B$10="Bear", C21, AVERAGE(C21, D21)),
 IF(OR('Report Summary'!$B$10="Bull",'Report Summary'!$B$10="Bullish"),
        IF('Report Summary'!$B$10="Bull", E21, AVERAGE(D21, E21)),
 IF('Report Summary'!$B$10="Neutral", D21, "")))</f>
        <v>43026</v>
      </c>
      <c r="H21" s="16" t="s">
        <v>56</v>
      </c>
      <c r="I21" s="16"/>
      <c r="J21" s="62">
        <f>J22-J20</f>
        <v>37.510538718738758</v>
      </c>
      <c r="K21" s="104"/>
      <c r="L21" s="104"/>
      <c r="M21" s="104"/>
      <c r="N21" s="104"/>
      <c r="O21" s="104"/>
      <c r="P21" s="104"/>
      <c r="Q21" s="104"/>
      <c r="R21" s="104"/>
      <c r="S21" s="104"/>
      <c r="T21" s="104"/>
    </row>
    <row r="22" spans="2:20" ht="15.75" thickBot="1" x14ac:dyDescent="0.3">
      <c r="B22" s="67" t="s">
        <v>107</v>
      </c>
      <c r="C22" s="142">
        <v>0.11</v>
      </c>
      <c r="D22" s="142">
        <v>0.125</v>
      </c>
      <c r="E22" s="142">
        <v>0.15</v>
      </c>
      <c r="F22" s="89">
        <f>IF(OR('Report Summary'!$B$10="Bear",'Report Summary'!$B$10="Bearish"),
        IF('Report Summary'!$B$10="Bear", C22, AVERAGE(C22, D22)),
 IF(OR('Report Summary'!$B$10="Bull",'Report Summary'!$B$10="Bullish"),
        IF('Report Summary'!$B$10="Bull", E22, AVERAGE(D22, E22)),
 IF('Report Summary'!$B$10="Neutral", D22, "")))</f>
        <v>0.13750000000000001</v>
      </c>
      <c r="H22" s="16" t="s">
        <v>257</v>
      </c>
      <c r="I22" s="16"/>
      <c r="J22" s="62" cm="1">
        <f t="array" ref="J22">(100/40)*('Report Summary'!N7:N7*'Peer &amp; Self Comps'!F37+'Report Summary'!N8:N8*'Peer &amp; Self Comps'!F29)</f>
        <v>637.51053871873876</v>
      </c>
    </row>
    <row r="23" spans="2:20" ht="15.75" thickBot="1" x14ac:dyDescent="0.3">
      <c r="B23" s="82" t="s">
        <v>37</v>
      </c>
      <c r="C23" s="83">
        <f>C22*C21</f>
        <v>4318.05</v>
      </c>
      <c r="D23" s="83">
        <f>D22*D21</f>
        <v>5180.75</v>
      </c>
      <c r="E23" s="83">
        <f>E22*E21</f>
        <v>6690.9</v>
      </c>
      <c r="F23" s="89">
        <f>IF(OR('Report Summary'!$B$10="Bear",'Report Summary'!$B$10="Bearish"),
        IF('Report Summary'!$B$10="Bear", C23, AVERAGE(C23, D23)),
 IF(OR('Report Summary'!$B$10="Bull",'Report Summary'!$B$10="Bullish"),
        IF('Report Summary'!$B$10="Bull", E23, AVERAGE(D23, E23)),
 IF('Report Summary'!$B$10="Neutral", D23, "")))</f>
        <v>5935.8249999999998</v>
      </c>
    </row>
    <row r="24" spans="2:20" ht="15.75" thickBot="1" x14ac:dyDescent="0.3">
      <c r="B24" s="82" t="s">
        <v>110</v>
      </c>
      <c r="C24" s="83">
        <f>$F$12*C23</f>
        <v>127684.73850000001</v>
      </c>
      <c r="D24" s="83">
        <f>$F$12*D23</f>
        <v>153194.7775</v>
      </c>
      <c r="E24" s="83">
        <f>$F$12*E23</f>
        <v>197849.913</v>
      </c>
      <c r="F24" s="89">
        <f>IF(OR('Report Summary'!$B$10="Bear",'Report Summary'!$B$10="Bearish"),
        IF('Report Summary'!$B$10="Bear", C24, AVERAGE(C24, D24)),
 IF(OR('Report Summary'!$B$10="Bull",'Report Summary'!$B$10="Bullish"),
        IF('Report Summary'!$B$10="Bull", E24, AVERAGE(D24, E24)),
 IF('Report Summary'!$B$10="Neutral", D24, "")))</f>
        <v>175522.34525000001</v>
      </c>
    </row>
    <row r="25" spans="2:20" ht="15.75" thickBot="1" x14ac:dyDescent="0.3">
      <c r="B25" s="82" t="s">
        <v>111</v>
      </c>
      <c r="C25" s="83">
        <f>C21*$H$12</f>
        <v>149169</v>
      </c>
      <c r="D25" s="83">
        <f>D21*$H$12</f>
        <v>157494.79999999999</v>
      </c>
      <c r="E25" s="83">
        <f>E21*$H$12</f>
        <v>169502.8</v>
      </c>
      <c r="F25" s="89">
        <f>IF(OR('Report Summary'!$B$10="Bear",'Report Summary'!$B$10="Bearish"),
        IF('Report Summary'!$B$10="Bear", C25, AVERAGE(C25, D25)),
 IF(OR('Report Summary'!$B$10="Bull",'Report Summary'!$B$10="Bullish"),
        IF('Report Summary'!$B$10="Bull", E25, AVERAGE(D25, E25)),
 IF('Report Summary'!$B$10="Neutral", D25, "")))</f>
        <v>163498.79999999999</v>
      </c>
    </row>
    <row r="26" spans="2:20" ht="15.75" thickBot="1" x14ac:dyDescent="0.3">
      <c r="B26" s="82" t="s">
        <v>112</v>
      </c>
      <c r="C26" s="83">
        <f>AVERAGE(C24:C25)</f>
        <v>138426.86924999999</v>
      </c>
      <c r="D26" s="83">
        <f>AVERAGE(D24:D25)</f>
        <v>155344.78875000001</v>
      </c>
      <c r="E26" s="83">
        <f>AVERAGE(E24:E25)</f>
        <v>183676.35649999999</v>
      </c>
      <c r="F26" s="89">
        <f>IF(OR('Report Summary'!$B$10="Bear",'Report Summary'!$B$10="Bearish"),
        IF('Report Summary'!$B$10="Bear", C26, AVERAGE(C26, D26)),
 IF(OR('Report Summary'!$B$10="Bull",'Report Summary'!$B$10="Bullish"),
        IF('Report Summary'!$B$10="Bull", E26, AVERAGE(D26, E26)),
 IF('Report Summary'!$B$10="Neutral", D26, "")))</f>
        <v>169510.572625</v>
      </c>
    </row>
    <row r="27" spans="2:20" ht="15.75" thickBot="1" x14ac:dyDescent="0.3">
      <c r="B27" s="82" t="s">
        <v>113</v>
      </c>
      <c r="C27" s="83">
        <v>9000</v>
      </c>
      <c r="D27" s="83">
        <v>10000</v>
      </c>
      <c r="E27" s="83">
        <v>12000</v>
      </c>
      <c r="F27" s="89">
        <f>IF(OR('Report Summary'!$B$10="Bear",'Report Summary'!$B$10="Bearish"),
        IF('Report Summary'!$B$10="Bear", C27, AVERAGE(C27, D27)),
 IF(OR('Report Summary'!$B$10="Bull",'Report Summary'!$B$10="Bullish"),
        IF('Report Summary'!$B$10="Bull", E27, AVERAGE(D27, E27)),
 IF('Report Summary'!$B$10="Neutral", D27, "")))</f>
        <v>11000</v>
      </c>
    </row>
    <row r="28" spans="2:20" ht="15.75" thickBot="1" x14ac:dyDescent="0.3">
      <c r="B28" s="82" t="s">
        <v>28</v>
      </c>
      <c r="C28" s="67">
        <v>0</v>
      </c>
      <c r="D28" s="67">
        <v>0</v>
      </c>
      <c r="E28" s="67">
        <v>0</v>
      </c>
      <c r="F28" s="89">
        <f>IF(OR('Report Summary'!$B$10="Bear",'Report Summary'!$B$10="Bearish"),
        IF('Report Summary'!$B$10="Bear", C28, AVERAGE(C28, D28)),
 IF(OR('Report Summary'!$B$10="Bull",'Report Summary'!$B$10="Bullish"),
        IF('Report Summary'!$B$10="Bull", E28, AVERAGE(D28, E28)),
 IF('Report Summary'!$B$10="Neutral", D28, "")))</f>
        <v>0</v>
      </c>
    </row>
    <row r="29" spans="2:20" ht="16.5" thickBot="1" x14ac:dyDescent="0.3">
      <c r="B29" s="84" t="s">
        <v>114</v>
      </c>
      <c r="C29" s="84">
        <f>(C26+C27-C28)/275.9</f>
        <v>534.34892805364268</v>
      </c>
      <c r="D29" s="84">
        <f t="shared" ref="D29:E29" si="0">(D26+D27-D28)/275.9</f>
        <v>599.29245650598045</v>
      </c>
      <c r="E29" s="84">
        <f t="shared" si="0"/>
        <v>709.22927328742298</v>
      </c>
      <c r="F29" s="89">
        <f>IF(OR('Report Summary'!$B$10="Bear",'Report Summary'!$B$10="Bearish"),
        IF('Report Summary'!$B$10="Bear", C29, AVERAGE(C29, D29)),
 IF(OR('Report Summary'!$B$10="Bull",'Report Summary'!$B$10="Bullish"),
        IF('Report Summary'!$B$10="Bull", E29, AVERAGE(D29, E29)),
 IF('Report Summary'!$B$10="Neutral", D29, "")))</f>
        <v>654.26086489670172</v>
      </c>
    </row>
    <row r="30" spans="2:20" ht="15.75" thickBot="1" x14ac:dyDescent="0.3">
      <c r="B30" s="196" t="s">
        <v>128</v>
      </c>
      <c r="C30" s="197"/>
      <c r="D30" s="197"/>
      <c r="E30" s="198"/>
      <c r="F30" s="89"/>
    </row>
    <row r="31" spans="2:20" ht="15.75" thickBot="1" x14ac:dyDescent="0.3">
      <c r="B31" s="86" t="s">
        <v>118</v>
      </c>
      <c r="C31" s="86"/>
      <c r="D31" s="86"/>
      <c r="E31" s="86"/>
      <c r="F31" s="89"/>
    </row>
    <row r="32" spans="2:20" ht="15.75" thickBot="1" x14ac:dyDescent="0.3">
      <c r="B32" s="77" t="s">
        <v>23</v>
      </c>
      <c r="F32" s="89"/>
    </row>
    <row r="33" spans="2:12" ht="15.75" thickBot="1" x14ac:dyDescent="0.3">
      <c r="B33" s="67">
        <f>F14*(1+F15)</f>
        <v>28.166399999999999</v>
      </c>
      <c r="C33" s="67">
        <f>$B$33*C23</f>
        <v>121623.92352</v>
      </c>
      <c r="D33" s="67">
        <f>$B$33*D23</f>
        <v>145923.07680000001</v>
      </c>
      <c r="E33" s="67">
        <f>$B$33*E23</f>
        <v>188458.56576</v>
      </c>
      <c r="F33" s="89">
        <f>IF(OR('Report Summary'!$B$10="Bear",'Report Summary'!$B$10="Bearish"),
        IF('Report Summary'!$B$10="Bear", C33, AVERAGE(C33, D33)),
 IF(OR('Report Summary'!$B$10="Bull",'Report Summary'!$B$10="Bullish"),
        IF('Report Summary'!$B$10="Bull", E33, AVERAGE(D33, E33)),
 IF('Report Summary'!$B$10="Neutral", D33, "")))</f>
        <v>167190.82128</v>
      </c>
    </row>
    <row r="34" spans="2:12" ht="15.75" thickBot="1" x14ac:dyDescent="0.3">
      <c r="B34" s="77" t="s">
        <v>66</v>
      </c>
      <c r="F34" s="89"/>
    </row>
    <row r="35" spans="2:12" ht="15.75" thickBot="1" x14ac:dyDescent="0.3">
      <c r="B35" s="67">
        <f>H14*(1+H15)</f>
        <v>3.5640000000000001</v>
      </c>
      <c r="C35" s="67">
        <f>$B$35*C21</f>
        <v>139904.82</v>
      </c>
      <c r="D35" s="67">
        <f>$B$35*D21</f>
        <v>147713.54399999999</v>
      </c>
      <c r="E35" s="67">
        <f>$B$35*E21</f>
        <v>158975.78400000001</v>
      </c>
      <c r="F35" s="89">
        <f>IF(OR('Report Summary'!$B$10="Bear",'Report Summary'!$B$10="Bearish"),
        IF('Report Summary'!$B$10="Bear", C35, AVERAGE(C35, D35)),
 IF(OR('Report Summary'!$B$10="Bull",'Report Summary'!$B$10="Bullish"),
        IF('Report Summary'!$B$10="Bull", E35, AVERAGE(D35, E35)),
 IF('Report Summary'!$B$10="Neutral", D35, "")))</f>
        <v>153344.66399999999</v>
      </c>
    </row>
    <row r="36" spans="2:12" ht="15.75" thickBot="1" x14ac:dyDescent="0.3">
      <c r="B36" s="82" t="s">
        <v>112</v>
      </c>
      <c r="C36" s="67">
        <f>AVERAGE(C33:C35)</f>
        <v>130764.37176000001</v>
      </c>
      <c r="D36" s="67">
        <f>AVERAGE(D33:D35)</f>
        <v>146818.31040000002</v>
      </c>
      <c r="E36" s="67">
        <f>AVERAGE(E33:E35)</f>
        <v>173717.17488000001</v>
      </c>
      <c r="F36" s="89">
        <f>IF(OR('Report Summary'!$B$10="Bear",'Report Summary'!$B$10="Bearish"),
        IF('Report Summary'!$B$10="Bear", C36, AVERAGE(C36, D36)),
 IF(OR('Report Summary'!$B$10="Bull",'Report Summary'!$B$10="Bullish"),
        IF('Report Summary'!$B$10="Bull", E36, AVERAGE(D36, E36)),
 IF('Report Summary'!$B$10="Neutral", D36, "")))</f>
        <v>160267.74264000001</v>
      </c>
    </row>
    <row r="37" spans="2:12" ht="16.5" thickBot="1" x14ac:dyDescent="0.3">
      <c r="B37" s="84" t="s">
        <v>114</v>
      </c>
      <c r="C37" s="84">
        <f>(C36+C27-C28)/275.9</f>
        <v>506.5761934034071</v>
      </c>
      <c r="D37" s="84">
        <f t="shared" ref="D37:E37" si="1">(D36+D27-D28)/275.9</f>
        <v>568.3882218194999</v>
      </c>
      <c r="E37" s="84">
        <f t="shared" si="1"/>
        <v>673.13220326205158</v>
      </c>
      <c r="F37" s="89">
        <f>IF(OR('Report Summary'!$B$10="Bear",'Report Summary'!$B$10="Bearish"),
        IF('Report Summary'!$B$10="Bear", C37, AVERAGE(C37, D37)),
 IF(OR('Report Summary'!$B$10="Bull",'Report Summary'!$B$10="Bullish"),
        IF('Report Summary'!$B$10="Bull", E37, AVERAGE(D37, E37)),
 IF('Report Summary'!$B$10="Neutral", D37, "")))</f>
        <v>620.76021254077568</v>
      </c>
    </row>
    <row r="43" spans="2:12" x14ac:dyDescent="0.25">
      <c r="B43" s="214" t="s">
        <v>192</v>
      </c>
      <c r="C43" s="214" t="s">
        <v>193</v>
      </c>
      <c r="D43" s="214" t="s">
        <v>194</v>
      </c>
      <c r="E43" s="214" t="s">
        <v>171</v>
      </c>
      <c r="F43" s="214" t="s">
        <v>195</v>
      </c>
      <c r="G43" s="214" t="s">
        <v>196</v>
      </c>
      <c r="H43" s="214" t="s">
        <v>197</v>
      </c>
      <c r="I43" s="214" t="s">
        <v>167</v>
      </c>
      <c r="J43" s="214" t="s">
        <v>198</v>
      </c>
      <c r="K43" s="214" t="s">
        <v>199</v>
      </c>
      <c r="L43" s="214" t="s">
        <v>200</v>
      </c>
    </row>
    <row r="44" spans="2:12" ht="45.75" customHeight="1" x14ac:dyDescent="0.25">
      <c r="B44" s="214"/>
      <c r="C44" s="214"/>
      <c r="D44" s="214"/>
      <c r="E44" s="214"/>
      <c r="F44" s="214"/>
      <c r="G44" s="214"/>
      <c r="H44" s="214"/>
      <c r="I44" s="214"/>
      <c r="J44" s="214"/>
      <c r="K44" s="214"/>
      <c r="L44" s="214"/>
    </row>
    <row r="45" spans="2:12" x14ac:dyDescent="0.25">
      <c r="B45" s="129" t="s">
        <v>79</v>
      </c>
      <c r="C45" s="129" t="s">
        <v>79</v>
      </c>
      <c r="D45" s="130">
        <v>25.111603697683492</v>
      </c>
      <c r="E45" s="130">
        <v>16.201431198873934</v>
      </c>
      <c r="F45" s="130">
        <v>23.177453873067236</v>
      </c>
      <c r="G45" s="130">
        <v>21.313295019749834</v>
      </c>
      <c r="H45" s="130">
        <v>6.7710998996638576</v>
      </c>
      <c r="I45" s="130">
        <v>10.485855577676098</v>
      </c>
      <c r="J45" s="130">
        <v>19.386562245498286</v>
      </c>
      <c r="K45" s="130">
        <v>0.72138848900795005</v>
      </c>
      <c r="L45" s="130">
        <v>15.790933609008789</v>
      </c>
    </row>
    <row r="46" spans="2:12" x14ac:dyDescent="0.25">
      <c r="B46" s="129" t="s">
        <v>201</v>
      </c>
      <c r="C46" s="129" t="s">
        <v>202</v>
      </c>
      <c r="D46" s="130">
        <v>62.677878395860283</v>
      </c>
      <c r="E46" s="130">
        <v>6.6762230893790981</v>
      </c>
      <c r="F46" s="130">
        <v>148.5519049512445</v>
      </c>
      <c r="G46" s="130">
        <v>23.217307339077728</v>
      </c>
      <c r="H46" s="130">
        <v>437.13577600400652</v>
      </c>
      <c r="I46" s="130">
        <v>10.092533181312744</v>
      </c>
      <c r="J46" s="130">
        <v>20.893382555512702</v>
      </c>
      <c r="K46" s="130">
        <v>0.71583700180053711</v>
      </c>
      <c r="L46" s="130">
        <v>1.4081770181655879</v>
      </c>
    </row>
    <row r="47" spans="2:12" x14ac:dyDescent="0.25">
      <c r="B47" s="129" t="s">
        <v>203</v>
      </c>
      <c r="C47" s="129" t="s">
        <v>204</v>
      </c>
      <c r="D47" s="130">
        <v>135.20336605890603</v>
      </c>
      <c r="E47" s="130">
        <v>9.7423036568825658</v>
      </c>
      <c r="F47" s="130">
        <v>1728.0253265419833</v>
      </c>
      <c r="G47" s="130">
        <v>19.40928270042194</v>
      </c>
      <c r="H47" s="130">
        <v>5.241758045160605</v>
      </c>
      <c r="I47" s="130">
        <v>9.8909841883790683</v>
      </c>
      <c r="J47" s="130">
        <v>17.879741935483871</v>
      </c>
      <c r="K47" s="130">
        <v>0.7269399762153631</v>
      </c>
      <c r="L47" s="130">
        <v>9.0912303924560547</v>
      </c>
    </row>
    <row r="48" spans="2:12" x14ac:dyDescent="0.25">
      <c r="B48" s="129" t="s">
        <v>205</v>
      </c>
      <c r="C48" s="129" t="s">
        <v>206</v>
      </c>
      <c r="D48" s="130">
        <v>12.529502562123611</v>
      </c>
      <c r="E48" s="130">
        <v>23.838846543761498</v>
      </c>
      <c r="F48" s="130">
        <v>11.166818014826884</v>
      </c>
      <c r="G48" s="130">
        <v>5.5921052631578947</v>
      </c>
      <c r="H48" s="130">
        <v>9.9281424784977812</v>
      </c>
      <c r="I48" s="130">
        <v>14.781359309583419</v>
      </c>
      <c r="J48" s="130">
        <v>21.986301369863014</v>
      </c>
      <c r="K48" s="130">
        <v>0.647755026817322</v>
      </c>
      <c r="L48" s="130">
        <v>26.012870788574219</v>
      </c>
    </row>
    <row r="49" spans="2:12" x14ac:dyDescent="0.25">
      <c r="B49" s="129" t="s">
        <v>207</v>
      </c>
      <c r="C49" s="129" t="s">
        <v>208</v>
      </c>
      <c r="D49" s="130">
        <v>13.419934204676803</v>
      </c>
      <c r="E49" s="130">
        <v>11.368034679958607</v>
      </c>
      <c r="F49" s="130">
        <v>13.577221222695602</v>
      </c>
      <c r="G49" s="130">
        <v>37.440464096438411</v>
      </c>
      <c r="H49" s="130">
        <v>8.3004417541671103</v>
      </c>
      <c r="I49" s="130">
        <v>7.7487775949077147</v>
      </c>
      <c r="J49" s="130">
        <v>9.6210682750608338</v>
      </c>
      <c r="K49" s="130">
        <v>0.88044399023056008</v>
      </c>
      <c r="L49" s="130">
        <v>5.6568241119384766</v>
      </c>
    </row>
    <row r="50" spans="2:12" x14ac:dyDescent="0.25">
      <c r="B50" s="129" t="s">
        <v>209</v>
      </c>
      <c r="C50" s="129" t="s">
        <v>210</v>
      </c>
      <c r="D50" s="130">
        <v>36.803273190690177</v>
      </c>
      <c r="E50" s="130">
        <v>21.034827717789263</v>
      </c>
      <c r="F50" s="130">
        <v>32.777686523438867</v>
      </c>
      <c r="G50" s="130">
        <v>81.537024606225785</v>
      </c>
      <c r="H50" s="130">
        <v>-7.7096150003306718</v>
      </c>
      <c r="I50" s="130">
        <v>21.405180825185361</v>
      </c>
      <c r="J50" s="130">
        <v>40.24293551781151</v>
      </c>
      <c r="K50" s="130">
        <v>0.93535697460174605</v>
      </c>
      <c r="L50" s="130">
        <v>34.389270782470703</v>
      </c>
    </row>
    <row r="51" spans="2:12" x14ac:dyDescent="0.25">
      <c r="B51" s="129" t="s">
        <v>211</v>
      </c>
      <c r="C51" s="129" t="s">
        <v>212</v>
      </c>
      <c r="D51" s="130">
        <v>9.7361237488626031</v>
      </c>
      <c r="E51" s="130">
        <v>21.472174178451521</v>
      </c>
      <c r="F51" s="130">
        <v>2.2840689494621591</v>
      </c>
      <c r="G51" s="130">
        <v>10.309386267495583</v>
      </c>
      <c r="H51" s="130">
        <v>0.35302842001092605</v>
      </c>
      <c r="I51" s="130">
        <v>10.879177974039454</v>
      </c>
      <c r="J51" s="130">
        <v>16.258677367929195</v>
      </c>
      <c r="K51" s="130">
        <v>0.61122101545333907</v>
      </c>
      <c r="L51" s="130">
        <v>22.490636825561523</v>
      </c>
    </row>
  </sheetData>
  <mergeCells count="39">
    <mergeCell ref="L43:L44"/>
    <mergeCell ref="G43:G44"/>
    <mergeCell ref="H43:H44"/>
    <mergeCell ref="I43:I44"/>
    <mergeCell ref="J43:J44"/>
    <mergeCell ref="K43:K44"/>
    <mergeCell ref="B43:B44"/>
    <mergeCell ref="C43:C44"/>
    <mergeCell ref="D43:D44"/>
    <mergeCell ref="E43:E44"/>
    <mergeCell ref="F43:F44"/>
    <mergeCell ref="B30:E30"/>
    <mergeCell ref="C4:D4"/>
    <mergeCell ref="C15:E16"/>
    <mergeCell ref="H11:I11"/>
    <mergeCell ref="F9:G9"/>
    <mergeCell ref="F10:G10"/>
    <mergeCell ref="F11:G11"/>
    <mergeCell ref="H9:I9"/>
    <mergeCell ref="H10:I10"/>
    <mergeCell ref="B19:E19"/>
    <mergeCell ref="F12:G12"/>
    <mergeCell ref="H12:I12"/>
    <mergeCell ref="F13:G13"/>
    <mergeCell ref="H13:I13"/>
    <mergeCell ref="F14:G14"/>
    <mergeCell ref="H14:I14"/>
    <mergeCell ref="F15:G16"/>
    <mergeCell ref="H15:I16"/>
    <mergeCell ref="B1:D2"/>
    <mergeCell ref="F7:G7"/>
    <mergeCell ref="F8:G8"/>
    <mergeCell ref="F6:G6"/>
    <mergeCell ref="H5:I5"/>
    <mergeCell ref="H6:I6"/>
    <mergeCell ref="H7:I7"/>
    <mergeCell ref="H8:I8"/>
    <mergeCell ref="F4:I4"/>
    <mergeCell ref="F5:G5"/>
  </mergeCells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C052B-B904-463B-83F8-305F298C4D72}">
  <sheetPr codeName="Sheet5"/>
  <dimension ref="A1:U52"/>
  <sheetViews>
    <sheetView topLeftCell="B13" workbookViewId="0">
      <selection activeCell="J25" sqref="J25"/>
    </sheetView>
  </sheetViews>
  <sheetFormatPr defaultRowHeight="15" x14ac:dyDescent="0.25"/>
  <cols>
    <col min="1" max="1" width="15.85546875" customWidth="1"/>
    <col min="3" max="3" width="14" customWidth="1"/>
    <col min="4" max="4" width="11.85546875" customWidth="1"/>
    <col min="5" max="5" width="11.7109375" customWidth="1"/>
    <col min="6" max="6" width="11.85546875" customWidth="1"/>
    <col min="7" max="7" width="14.140625" customWidth="1"/>
    <col min="10" max="10" width="29" customWidth="1"/>
    <col min="11" max="11" width="11.42578125" customWidth="1"/>
    <col min="12" max="12" width="11.5703125" customWidth="1"/>
    <col min="13" max="13" width="12" customWidth="1"/>
    <col min="14" max="14" width="10.7109375" customWidth="1"/>
    <col min="16" max="16" width="15.28515625" customWidth="1"/>
    <col min="17" max="17" width="37.42578125" customWidth="1"/>
  </cols>
  <sheetData>
    <row r="1" spans="1:21" ht="20.25" x14ac:dyDescent="0.25">
      <c r="I1" s="211" t="s">
        <v>191</v>
      </c>
      <c r="J1" s="211"/>
      <c r="K1" s="211"/>
      <c r="L1" s="211"/>
      <c r="M1" s="211"/>
      <c r="N1" s="211"/>
      <c r="P1" s="212" t="s">
        <v>137</v>
      </c>
      <c r="Q1" s="212"/>
      <c r="R1" s="212"/>
      <c r="S1" s="212"/>
      <c r="T1" s="212"/>
      <c r="U1" s="212"/>
    </row>
    <row r="2" spans="1:21" x14ac:dyDescent="0.25">
      <c r="I2" s="118"/>
      <c r="J2" s="118"/>
      <c r="K2" s="118"/>
      <c r="L2" s="118"/>
      <c r="M2" s="118"/>
      <c r="N2" s="118"/>
      <c r="P2" s="109"/>
      <c r="Q2" s="109"/>
      <c r="R2" s="109"/>
      <c r="S2" s="109"/>
      <c r="T2" s="109"/>
      <c r="U2" s="109"/>
    </row>
    <row r="3" spans="1:21" x14ac:dyDescent="0.25">
      <c r="A3" s="110" t="s">
        <v>138</v>
      </c>
      <c r="B3" s="110"/>
      <c r="C3" s="111" t="s">
        <v>139</v>
      </c>
      <c r="D3" s="111" t="s">
        <v>140</v>
      </c>
      <c r="E3" s="111" t="s">
        <v>141</v>
      </c>
      <c r="F3" s="111" t="s">
        <v>142</v>
      </c>
      <c r="G3" s="111" t="s">
        <v>241</v>
      </c>
      <c r="I3" s="119" t="s">
        <v>138</v>
      </c>
      <c r="J3" s="119"/>
      <c r="K3" s="120" t="s">
        <v>139</v>
      </c>
      <c r="L3" s="120" t="s">
        <v>140</v>
      </c>
      <c r="M3" s="120" t="s">
        <v>141</v>
      </c>
      <c r="N3" s="120" t="s">
        <v>142</v>
      </c>
      <c r="P3" s="110" t="s">
        <v>138</v>
      </c>
      <c r="Q3" s="110"/>
      <c r="R3" s="111" t="s">
        <v>139</v>
      </c>
      <c r="S3" s="111" t="s">
        <v>140</v>
      </c>
      <c r="T3" s="111" t="s">
        <v>141</v>
      </c>
      <c r="U3" s="111" t="s">
        <v>142</v>
      </c>
    </row>
    <row r="4" spans="1:21" x14ac:dyDescent="0.25">
      <c r="A4" s="112" t="s">
        <v>143</v>
      </c>
      <c r="B4" s="112"/>
      <c r="C4" s="113" t="s">
        <v>144</v>
      </c>
      <c r="D4" s="113" t="s">
        <v>145</v>
      </c>
      <c r="E4" s="113" t="s">
        <v>146</v>
      </c>
      <c r="F4" s="113" t="s">
        <v>147</v>
      </c>
      <c r="G4" s="113" t="s">
        <v>240</v>
      </c>
      <c r="I4" s="121" t="s">
        <v>143</v>
      </c>
      <c r="J4" s="121"/>
      <c r="K4" s="122" t="s">
        <v>144</v>
      </c>
      <c r="L4" s="122" t="s">
        <v>145</v>
      </c>
      <c r="M4" s="122" t="s">
        <v>146</v>
      </c>
      <c r="N4" s="122" t="s">
        <v>147</v>
      </c>
      <c r="P4" s="112" t="s">
        <v>143</v>
      </c>
      <c r="Q4" s="112"/>
      <c r="R4" s="113" t="s">
        <v>144</v>
      </c>
      <c r="S4" s="113" t="s">
        <v>145</v>
      </c>
      <c r="T4" s="113" t="s">
        <v>146</v>
      </c>
      <c r="U4" s="113" t="s">
        <v>147</v>
      </c>
    </row>
    <row r="5" spans="1:21" x14ac:dyDescent="0.25">
      <c r="A5" s="207" t="s">
        <v>33</v>
      </c>
      <c r="B5" s="208"/>
      <c r="C5" s="114"/>
      <c r="D5" s="114"/>
      <c r="E5" s="114"/>
      <c r="F5" s="114"/>
      <c r="G5" s="114"/>
      <c r="I5" s="123" t="s">
        <v>163</v>
      </c>
      <c r="J5" s="124"/>
      <c r="K5" s="124"/>
      <c r="L5" s="124"/>
      <c r="M5" s="124"/>
      <c r="N5" s="124"/>
      <c r="P5" s="207" t="s">
        <v>33</v>
      </c>
      <c r="Q5" s="208"/>
      <c r="R5" s="114"/>
      <c r="S5" s="114"/>
      <c r="T5" s="114"/>
      <c r="U5" s="114"/>
    </row>
    <row r="6" spans="1:21" x14ac:dyDescent="0.25">
      <c r="A6" s="209" t="s">
        <v>148</v>
      </c>
      <c r="B6" s="210"/>
      <c r="C6" s="137">
        <v>16472</v>
      </c>
      <c r="D6" s="137">
        <v>15894</v>
      </c>
      <c r="E6" s="137">
        <v>17436</v>
      </c>
      <c r="F6" s="137">
        <v>18127</v>
      </c>
      <c r="G6" s="92">
        <f>'DCF Model'!F36</f>
        <v>19332.8</v>
      </c>
      <c r="I6" s="205" t="s">
        <v>164</v>
      </c>
      <c r="J6" s="206"/>
      <c r="K6" s="126" t="s">
        <v>150</v>
      </c>
      <c r="L6" s="126" t="s">
        <v>150</v>
      </c>
      <c r="M6" s="126">
        <v>-4.8489000000000004</v>
      </c>
      <c r="N6" s="126">
        <v>18.299700000000001</v>
      </c>
      <c r="P6" s="209" t="s">
        <v>148</v>
      </c>
      <c r="Q6" s="210"/>
      <c r="R6" s="115">
        <v>16472</v>
      </c>
      <c r="S6" s="115">
        <v>15894</v>
      </c>
      <c r="T6" s="115">
        <v>17436</v>
      </c>
      <c r="U6" s="115">
        <v>18127</v>
      </c>
    </row>
    <row r="7" spans="1:21" x14ac:dyDescent="0.25">
      <c r="I7" s="205" t="s">
        <v>165</v>
      </c>
      <c r="J7" s="206" t="s">
        <v>166</v>
      </c>
      <c r="K7" s="126" t="s">
        <v>150</v>
      </c>
      <c r="L7" s="126" t="s">
        <v>150</v>
      </c>
      <c r="M7" s="126">
        <v>-0.96699999999999997</v>
      </c>
      <c r="N7" s="126">
        <v>3.1800999999999999</v>
      </c>
      <c r="P7" s="209" t="s">
        <v>149</v>
      </c>
      <c r="Q7" s="210"/>
      <c r="R7" s="115" t="s">
        <v>150</v>
      </c>
      <c r="S7" s="115">
        <v>24186</v>
      </c>
      <c r="T7" s="115">
        <v>25003</v>
      </c>
      <c r="U7" s="115">
        <v>24161</v>
      </c>
    </row>
    <row r="8" spans="1:21" x14ac:dyDescent="0.25">
      <c r="I8" s="205" t="s">
        <v>167</v>
      </c>
      <c r="J8" s="206" t="s">
        <v>168</v>
      </c>
      <c r="K8" s="126" t="s">
        <v>150</v>
      </c>
      <c r="L8" s="126" t="s">
        <v>150</v>
      </c>
      <c r="M8" s="126">
        <v>-12.480499999999999</v>
      </c>
      <c r="N8" s="126">
        <v>3.2391000000000001</v>
      </c>
      <c r="P8" s="209" t="s">
        <v>151</v>
      </c>
      <c r="Q8" s="210"/>
      <c r="R8" s="115">
        <v>686</v>
      </c>
      <c r="S8" s="115">
        <v>508</v>
      </c>
      <c r="T8" s="115">
        <v>494</v>
      </c>
      <c r="U8" s="115">
        <v>519</v>
      </c>
    </row>
    <row r="9" spans="1:21" x14ac:dyDescent="0.25">
      <c r="I9" s="125"/>
      <c r="J9" s="127"/>
      <c r="K9" s="127"/>
      <c r="L9" s="127"/>
      <c r="M9" s="127"/>
      <c r="N9" s="127"/>
      <c r="P9" s="209" t="s">
        <v>152</v>
      </c>
      <c r="Q9" s="210"/>
      <c r="R9" s="115">
        <v>-202</v>
      </c>
      <c r="S9" s="115">
        <v>-203</v>
      </c>
      <c r="T9" s="115">
        <v>-319</v>
      </c>
      <c r="U9" s="115">
        <v>-380</v>
      </c>
    </row>
    <row r="10" spans="1:21" x14ac:dyDescent="0.25">
      <c r="I10" s="123" t="s">
        <v>169</v>
      </c>
      <c r="J10" s="124"/>
      <c r="K10" s="124"/>
      <c r="L10" s="124"/>
      <c r="M10" s="124"/>
      <c r="N10" s="124"/>
      <c r="P10" s="209" t="s">
        <v>153</v>
      </c>
      <c r="Q10" s="210"/>
      <c r="R10" s="115">
        <v>13729</v>
      </c>
      <c r="S10" s="115">
        <v>16124</v>
      </c>
      <c r="T10" s="115">
        <v>17436</v>
      </c>
      <c r="U10" s="115">
        <v>18127</v>
      </c>
    </row>
    <row r="11" spans="1:21" x14ac:dyDescent="0.25">
      <c r="I11" s="205" t="s">
        <v>170</v>
      </c>
      <c r="J11" s="206"/>
      <c r="K11" s="126">
        <v>14.982100000000001</v>
      </c>
      <c r="L11" s="126">
        <v>11.661199999999999</v>
      </c>
      <c r="M11" s="126">
        <v>14.494999999999999</v>
      </c>
      <c r="N11" s="126">
        <v>17.418099999999999</v>
      </c>
      <c r="P11" s="209" t="s">
        <v>154</v>
      </c>
      <c r="Q11" s="210"/>
      <c r="R11" s="115">
        <v>69992</v>
      </c>
      <c r="S11" s="115">
        <v>70934</v>
      </c>
      <c r="T11" s="115">
        <v>72974</v>
      </c>
      <c r="U11" s="115">
        <v>73351</v>
      </c>
    </row>
    <row r="12" spans="1:21" x14ac:dyDescent="0.25">
      <c r="I12" s="205" t="s">
        <v>171</v>
      </c>
      <c r="J12" s="206" t="s">
        <v>172</v>
      </c>
      <c r="K12" s="126">
        <v>0.88470000000000004</v>
      </c>
      <c r="L12" s="126">
        <v>-3.6555</v>
      </c>
      <c r="M12" s="126">
        <v>0.12330000000000001</v>
      </c>
      <c r="N12" s="126">
        <v>4.7030000000000003</v>
      </c>
      <c r="P12" s="209" t="s">
        <v>155</v>
      </c>
      <c r="Q12" s="210"/>
      <c r="R12" s="115" t="s">
        <v>150</v>
      </c>
      <c r="S12" s="115" t="s">
        <v>150</v>
      </c>
      <c r="T12" s="115">
        <v>17425</v>
      </c>
      <c r="U12" s="115">
        <v>21758</v>
      </c>
    </row>
    <row r="13" spans="1:21" x14ac:dyDescent="0.25">
      <c r="I13" s="205" t="s">
        <v>173</v>
      </c>
      <c r="J13" s="206" t="s">
        <v>174</v>
      </c>
      <c r="K13" s="126">
        <v>-2.6783000000000001</v>
      </c>
      <c r="L13" s="126">
        <v>-9.7154000000000007</v>
      </c>
      <c r="M13" s="126">
        <v>-2.7768999999999999</v>
      </c>
      <c r="N13" s="126">
        <v>1.3482000000000001</v>
      </c>
      <c r="P13" s="209" t="s">
        <v>156</v>
      </c>
      <c r="Q13" s="210"/>
      <c r="R13" s="115">
        <v>1407</v>
      </c>
      <c r="S13" s="115">
        <v>1655</v>
      </c>
      <c r="T13" s="115">
        <v>1722</v>
      </c>
      <c r="U13" s="115">
        <v>2268</v>
      </c>
    </row>
    <row r="14" spans="1:21" x14ac:dyDescent="0.25">
      <c r="I14" s="205" t="s">
        <v>175</v>
      </c>
      <c r="J14" s="206" t="s">
        <v>176</v>
      </c>
      <c r="K14" s="126" t="s">
        <v>150</v>
      </c>
      <c r="L14" s="126">
        <v>-59.5764</v>
      </c>
      <c r="M14" s="126">
        <v>54.616500000000002</v>
      </c>
      <c r="N14" s="126">
        <v>82.193399999999997</v>
      </c>
      <c r="P14" s="209" t="s">
        <v>157</v>
      </c>
      <c r="Q14" s="210"/>
      <c r="R14" s="115">
        <v>1369</v>
      </c>
      <c r="S14" s="115">
        <v>1727</v>
      </c>
      <c r="T14" s="115">
        <v>1859</v>
      </c>
      <c r="U14" s="115">
        <v>2310</v>
      </c>
    </row>
    <row r="15" spans="1:21" x14ac:dyDescent="0.25">
      <c r="I15" s="205" t="s">
        <v>177</v>
      </c>
      <c r="J15" s="206" t="s">
        <v>178</v>
      </c>
      <c r="K15" s="126">
        <v>-2.6177000000000001</v>
      </c>
      <c r="L15" s="126">
        <v>-8.3429000000000002</v>
      </c>
      <c r="M15" s="126">
        <v>-0.3911</v>
      </c>
      <c r="N15" s="126">
        <v>7.1504000000000003</v>
      </c>
      <c r="P15" s="209" t="s">
        <v>158</v>
      </c>
      <c r="Q15" s="210"/>
      <c r="R15" s="116">
        <v>8.4</v>
      </c>
      <c r="S15" s="116">
        <v>10.3</v>
      </c>
      <c r="T15" s="116">
        <v>9.9</v>
      </c>
      <c r="U15" s="116">
        <v>12.5</v>
      </c>
    </row>
    <row r="16" spans="1:21" x14ac:dyDescent="0.25">
      <c r="I16" s="205" t="s">
        <v>179</v>
      </c>
      <c r="J16" s="206" t="s">
        <v>180</v>
      </c>
      <c r="K16" s="126">
        <v>-2.1934999999999998</v>
      </c>
      <c r="L16" s="126">
        <v>-9.1791999999999998</v>
      </c>
      <c r="M16" s="126">
        <v>-1.4259999999999999</v>
      </c>
      <c r="N16" s="126">
        <v>4.4626000000000001</v>
      </c>
      <c r="P16" s="209" t="s">
        <v>159</v>
      </c>
      <c r="Q16" s="210"/>
      <c r="R16" s="115">
        <v>16729</v>
      </c>
      <c r="S16" s="115">
        <v>16124</v>
      </c>
      <c r="T16" s="115">
        <v>17436</v>
      </c>
      <c r="U16" s="115">
        <v>18127</v>
      </c>
    </row>
    <row r="17" spans="9:21" x14ac:dyDescent="0.25">
      <c r="I17" s="205" t="s">
        <v>181</v>
      </c>
      <c r="J17" s="206" t="s">
        <v>182</v>
      </c>
      <c r="K17" s="126">
        <v>-1.9177999999999999</v>
      </c>
      <c r="L17" s="126">
        <v>-9.2263999999999999</v>
      </c>
      <c r="M17" s="126">
        <v>-1.3177000000000001</v>
      </c>
      <c r="N17" s="126">
        <v>4.4424999999999999</v>
      </c>
      <c r="P17" s="209" t="s">
        <v>160</v>
      </c>
      <c r="Q17" s="210"/>
      <c r="R17" s="116" t="s">
        <v>150</v>
      </c>
      <c r="S17" s="116">
        <v>2</v>
      </c>
      <c r="T17" s="116">
        <v>7</v>
      </c>
      <c r="U17" s="116">
        <v>7</v>
      </c>
    </row>
    <row r="18" spans="9:21" x14ac:dyDescent="0.25">
      <c r="I18" s="205" t="s">
        <v>183</v>
      </c>
      <c r="J18" s="206" t="s">
        <v>184</v>
      </c>
      <c r="K18" s="126">
        <v>-1.9177999999999999</v>
      </c>
      <c r="L18" s="126">
        <v>-9.2263999999999999</v>
      </c>
      <c r="M18" s="126">
        <v>-1.3177000000000001</v>
      </c>
      <c r="N18" s="126">
        <v>4.4424999999999999</v>
      </c>
      <c r="P18" s="207" t="s">
        <v>34</v>
      </c>
      <c r="Q18" s="208"/>
      <c r="R18" s="114"/>
      <c r="S18" s="114"/>
      <c r="T18" s="114"/>
      <c r="U18" s="114"/>
    </row>
    <row r="19" spans="9:21" x14ac:dyDescent="0.25">
      <c r="I19" s="125"/>
      <c r="J19" s="127"/>
      <c r="K19" s="127"/>
      <c r="L19" s="127"/>
      <c r="M19" s="127"/>
      <c r="N19" s="127"/>
      <c r="P19" s="209" t="s">
        <v>148</v>
      </c>
      <c r="Q19" s="210"/>
      <c r="R19" s="115">
        <v>11503</v>
      </c>
      <c r="S19" s="115">
        <v>8897</v>
      </c>
      <c r="T19" s="115">
        <v>9826</v>
      </c>
      <c r="U19" s="115">
        <v>9701</v>
      </c>
    </row>
    <row r="20" spans="9:21" x14ac:dyDescent="0.25">
      <c r="I20" s="123" t="s">
        <v>185</v>
      </c>
      <c r="J20" s="124"/>
      <c r="K20" s="124"/>
      <c r="L20" s="124"/>
      <c r="M20" s="124"/>
      <c r="N20" s="124"/>
      <c r="P20" s="209" t="s">
        <v>149</v>
      </c>
      <c r="Q20" s="210"/>
      <c r="R20" s="115" t="s">
        <v>150</v>
      </c>
      <c r="S20" s="115">
        <v>10649</v>
      </c>
      <c r="T20" s="115">
        <v>10898</v>
      </c>
      <c r="U20" s="115">
        <v>9970</v>
      </c>
    </row>
    <row r="21" spans="9:21" x14ac:dyDescent="0.25">
      <c r="I21" s="205" t="s">
        <v>186</v>
      </c>
      <c r="J21" s="206"/>
      <c r="K21" s="126" t="s">
        <v>150</v>
      </c>
      <c r="L21" s="126" t="s">
        <v>150</v>
      </c>
      <c r="M21" s="126" t="s">
        <v>150</v>
      </c>
      <c r="N21" s="126">
        <v>37.5901</v>
      </c>
      <c r="P21" s="209" t="s">
        <v>151</v>
      </c>
      <c r="Q21" s="210"/>
      <c r="R21" s="115">
        <v>369</v>
      </c>
      <c r="S21" s="115">
        <v>195</v>
      </c>
      <c r="T21" s="115">
        <v>249</v>
      </c>
      <c r="U21" s="115">
        <v>350</v>
      </c>
    </row>
    <row r="22" spans="9:21" x14ac:dyDescent="0.25">
      <c r="I22" s="205" t="s">
        <v>187</v>
      </c>
      <c r="J22" s="206" t="s">
        <v>188</v>
      </c>
      <c r="K22" s="126" t="s">
        <v>150</v>
      </c>
      <c r="L22" s="126" t="s">
        <v>150</v>
      </c>
      <c r="M22" s="126" t="s">
        <v>150</v>
      </c>
      <c r="N22" s="126">
        <v>0</v>
      </c>
      <c r="P22" s="209" t="s">
        <v>152</v>
      </c>
      <c r="Q22" s="210"/>
      <c r="R22" s="115">
        <v>-286</v>
      </c>
      <c r="S22" s="115">
        <v>-231</v>
      </c>
      <c r="T22" s="115">
        <v>-325</v>
      </c>
      <c r="U22" s="115">
        <v>-250</v>
      </c>
    </row>
    <row r="23" spans="9:21" x14ac:dyDescent="0.25">
      <c r="I23" s="205" t="s">
        <v>189</v>
      </c>
      <c r="J23" s="206" t="s">
        <v>190</v>
      </c>
      <c r="K23" s="126" t="s">
        <v>150</v>
      </c>
      <c r="L23" s="126" t="s">
        <v>150</v>
      </c>
      <c r="M23" s="126" t="s">
        <v>150</v>
      </c>
      <c r="N23" s="126">
        <v>18.299700000000001</v>
      </c>
      <c r="P23" s="209" t="s">
        <v>153</v>
      </c>
      <c r="Q23" s="210"/>
      <c r="R23" s="115">
        <v>11539</v>
      </c>
      <c r="S23" s="115">
        <v>8905</v>
      </c>
      <c r="T23" s="115">
        <v>9826</v>
      </c>
      <c r="U23" s="115">
        <v>9701</v>
      </c>
    </row>
    <row r="24" spans="9:21" x14ac:dyDescent="0.25">
      <c r="I24" s="128" t="s">
        <v>162</v>
      </c>
      <c r="J24" s="128"/>
      <c r="K24" s="128"/>
      <c r="L24" s="128"/>
      <c r="M24" s="128"/>
      <c r="N24" s="128"/>
      <c r="P24" s="209" t="s">
        <v>154</v>
      </c>
      <c r="Q24" s="210"/>
      <c r="R24" s="115">
        <v>25837</v>
      </c>
      <c r="S24" s="115">
        <v>25625</v>
      </c>
      <c r="T24" s="115">
        <v>26949</v>
      </c>
      <c r="U24" s="115">
        <v>22682</v>
      </c>
    </row>
    <row r="25" spans="9:21" x14ac:dyDescent="0.25">
      <c r="P25" s="209" t="s">
        <v>155</v>
      </c>
      <c r="Q25" s="210"/>
      <c r="R25" s="115" t="s">
        <v>150</v>
      </c>
      <c r="S25" s="115" t="s">
        <v>150</v>
      </c>
      <c r="T25" s="115">
        <v>11422</v>
      </c>
      <c r="U25" s="115">
        <v>7087</v>
      </c>
    </row>
    <row r="26" spans="9:21" x14ac:dyDescent="0.25">
      <c r="P26" s="209" t="s">
        <v>156</v>
      </c>
      <c r="Q26" s="210"/>
      <c r="R26" s="115">
        <v>176</v>
      </c>
      <c r="S26" s="115">
        <v>-1710</v>
      </c>
      <c r="T26" s="115">
        <v>-1033</v>
      </c>
      <c r="U26" s="115">
        <v>-588</v>
      </c>
    </row>
    <row r="27" spans="9:21" ht="20.25" x14ac:dyDescent="0.25">
      <c r="I27" s="211" t="s">
        <v>213</v>
      </c>
      <c r="J27" s="211"/>
      <c r="K27" s="211"/>
      <c r="L27" s="211"/>
      <c r="M27" s="211"/>
      <c r="N27" s="211"/>
      <c r="P27" s="209" t="s">
        <v>157</v>
      </c>
      <c r="Q27" s="210"/>
      <c r="R27" s="115">
        <v>121</v>
      </c>
      <c r="S27" s="115">
        <v>-1772</v>
      </c>
      <c r="T27" s="115">
        <v>-922</v>
      </c>
      <c r="U27" s="115">
        <v>-536</v>
      </c>
    </row>
    <row r="28" spans="9:21" x14ac:dyDescent="0.25">
      <c r="I28" s="118"/>
      <c r="J28" s="118"/>
      <c r="K28" s="118"/>
      <c r="L28" s="118"/>
      <c r="M28" s="118"/>
      <c r="N28" s="118"/>
      <c r="P28" s="209" t="s">
        <v>158</v>
      </c>
      <c r="Q28" s="210"/>
      <c r="R28" s="116">
        <v>1.5</v>
      </c>
      <c r="S28" s="116">
        <v>-19.2</v>
      </c>
      <c r="T28" s="116">
        <v>-10.5</v>
      </c>
      <c r="U28" s="116">
        <v>-6.1</v>
      </c>
    </row>
    <row r="29" spans="9:21" x14ac:dyDescent="0.25">
      <c r="I29" s="119" t="s">
        <v>138</v>
      </c>
      <c r="J29" s="119"/>
      <c r="K29" s="120" t="s">
        <v>139</v>
      </c>
      <c r="L29" s="120" t="s">
        <v>140</v>
      </c>
      <c r="M29" s="120" t="s">
        <v>141</v>
      </c>
      <c r="N29" s="120" t="s">
        <v>142</v>
      </c>
      <c r="P29" s="209" t="s">
        <v>159</v>
      </c>
      <c r="Q29" s="210"/>
      <c r="R29" s="115">
        <v>11539</v>
      </c>
      <c r="S29" s="115">
        <v>8905</v>
      </c>
      <c r="T29" s="115">
        <v>9826</v>
      </c>
      <c r="U29" s="115">
        <v>9701</v>
      </c>
    </row>
    <row r="30" spans="9:21" x14ac:dyDescent="0.25">
      <c r="I30" s="121" t="s">
        <v>143</v>
      </c>
      <c r="J30" s="121"/>
      <c r="K30" s="122" t="s">
        <v>144</v>
      </c>
      <c r="L30" s="122" t="s">
        <v>145</v>
      </c>
      <c r="M30" s="122" t="s">
        <v>146</v>
      </c>
      <c r="N30" s="122" t="s">
        <v>147</v>
      </c>
      <c r="P30" s="209" t="s">
        <v>160</v>
      </c>
      <c r="Q30" s="210"/>
      <c r="R30" s="116" t="s">
        <v>150</v>
      </c>
      <c r="S30" s="116">
        <v>-19</v>
      </c>
      <c r="T30" s="116">
        <v>11</v>
      </c>
      <c r="U30" s="116">
        <v>-1</v>
      </c>
    </row>
    <row r="31" spans="9:21" x14ac:dyDescent="0.25">
      <c r="I31" s="123" t="s">
        <v>214</v>
      </c>
      <c r="J31" s="124"/>
      <c r="K31" s="124"/>
      <c r="L31" s="124"/>
      <c r="M31" s="124"/>
      <c r="N31" s="124"/>
      <c r="P31" s="207" t="s">
        <v>35</v>
      </c>
      <c r="Q31" s="208"/>
      <c r="R31" s="114"/>
      <c r="S31" s="114"/>
      <c r="T31" s="114"/>
      <c r="U31" s="114"/>
    </row>
    <row r="32" spans="9:21" x14ac:dyDescent="0.25">
      <c r="I32" s="205" t="s">
        <v>215</v>
      </c>
      <c r="J32" s="206"/>
      <c r="K32" s="126">
        <v>73.263900000000007</v>
      </c>
      <c r="L32" s="126">
        <v>110.59010000000001</v>
      </c>
      <c r="M32" s="126">
        <v>336.92309999999998</v>
      </c>
      <c r="N32" s="126">
        <v>62.1297</v>
      </c>
      <c r="P32" s="209" t="s">
        <v>148</v>
      </c>
      <c r="Q32" s="210"/>
      <c r="R32" s="115">
        <v>5031</v>
      </c>
      <c r="S32" s="115">
        <v>4863</v>
      </c>
      <c r="T32" s="115">
        <v>6378</v>
      </c>
      <c r="U32" s="115">
        <v>7549</v>
      </c>
    </row>
    <row r="33" spans="9:21" x14ac:dyDescent="0.25">
      <c r="I33" s="123" t="s">
        <v>216</v>
      </c>
      <c r="J33" s="124"/>
      <c r="K33" s="124"/>
      <c r="L33" s="124"/>
      <c r="M33" s="124"/>
      <c r="N33" s="124"/>
      <c r="P33" s="209" t="s">
        <v>149</v>
      </c>
      <c r="Q33" s="210"/>
      <c r="R33" s="115" t="s">
        <v>150</v>
      </c>
      <c r="S33" s="115">
        <v>6295</v>
      </c>
      <c r="T33" s="115">
        <v>6607</v>
      </c>
      <c r="U33" s="115">
        <v>7402</v>
      </c>
    </row>
    <row r="34" spans="9:21" x14ac:dyDescent="0.25">
      <c r="I34" s="123" t="s">
        <v>173</v>
      </c>
      <c r="J34" s="124"/>
      <c r="K34" s="124"/>
      <c r="L34" s="124"/>
      <c r="M34" s="124"/>
      <c r="N34" s="124"/>
      <c r="P34" s="209" t="s">
        <v>151</v>
      </c>
      <c r="Q34" s="210"/>
      <c r="R34" s="115">
        <v>63</v>
      </c>
      <c r="S34" s="115">
        <v>88</v>
      </c>
      <c r="T34" s="115">
        <v>85</v>
      </c>
      <c r="U34" s="115">
        <v>88</v>
      </c>
    </row>
    <row r="35" spans="9:21" x14ac:dyDescent="0.25">
      <c r="I35" s="123" t="s">
        <v>217</v>
      </c>
      <c r="J35" s="124"/>
      <c r="K35" s="124"/>
      <c r="L35" s="124"/>
      <c r="M35" s="124"/>
      <c r="N35" s="124"/>
      <c r="P35" s="209" t="s">
        <v>152</v>
      </c>
      <c r="Q35" s="210"/>
      <c r="R35" s="115">
        <v>-58</v>
      </c>
      <c r="S35" s="115">
        <v>-52</v>
      </c>
      <c r="T35" s="115">
        <v>-74</v>
      </c>
      <c r="U35" s="115">
        <v>-153</v>
      </c>
    </row>
    <row r="36" spans="9:21" x14ac:dyDescent="0.25">
      <c r="I36" s="205" t="s">
        <v>218</v>
      </c>
      <c r="J36" s="206"/>
      <c r="K36" s="126" t="s">
        <v>150</v>
      </c>
      <c r="L36" s="126" t="s">
        <v>150</v>
      </c>
      <c r="M36" s="126">
        <v>0.73380000000000001</v>
      </c>
      <c r="N36" s="126">
        <v>0.71579999999999999</v>
      </c>
      <c r="P36" s="209" t="s">
        <v>153</v>
      </c>
      <c r="Q36" s="210"/>
      <c r="R36" s="115">
        <v>5292</v>
      </c>
      <c r="S36" s="115">
        <v>5076</v>
      </c>
      <c r="T36" s="115">
        <v>6378</v>
      </c>
      <c r="U36" s="115">
        <v>7549</v>
      </c>
    </row>
    <row r="37" spans="9:21" x14ac:dyDescent="0.25">
      <c r="I37" s="123" t="s">
        <v>219</v>
      </c>
      <c r="J37" s="124"/>
      <c r="K37" s="124"/>
      <c r="L37" s="124"/>
      <c r="M37" s="124"/>
      <c r="N37" s="124"/>
      <c r="P37" s="209" t="s">
        <v>154</v>
      </c>
      <c r="Q37" s="210"/>
      <c r="R37" s="115">
        <v>7488</v>
      </c>
      <c r="S37" s="115">
        <v>8971</v>
      </c>
      <c r="T37" s="115">
        <v>16342</v>
      </c>
      <c r="U37" s="115">
        <v>23453</v>
      </c>
    </row>
    <row r="38" spans="9:21" x14ac:dyDescent="0.25">
      <c r="I38" s="205" t="s">
        <v>220</v>
      </c>
      <c r="J38" s="206"/>
      <c r="K38" s="126" t="s">
        <v>150</v>
      </c>
      <c r="L38" s="126" t="s">
        <v>150</v>
      </c>
      <c r="M38" s="126">
        <v>5.0145</v>
      </c>
      <c r="N38" s="126">
        <v>5.7544000000000004</v>
      </c>
      <c r="P38" s="209" t="s">
        <v>155</v>
      </c>
      <c r="Q38" s="210"/>
      <c r="R38" s="115" t="s">
        <v>150</v>
      </c>
      <c r="S38" s="115" t="s">
        <v>150</v>
      </c>
      <c r="T38" s="115">
        <v>13203</v>
      </c>
      <c r="U38" s="115">
        <v>15689</v>
      </c>
    </row>
    <row r="39" spans="9:21" x14ac:dyDescent="0.25">
      <c r="I39" s="125"/>
      <c r="J39" s="127"/>
      <c r="K39" s="127"/>
      <c r="L39" s="127"/>
      <c r="M39" s="127"/>
      <c r="N39" s="127"/>
      <c r="P39" s="209" t="s">
        <v>156</v>
      </c>
      <c r="Q39" s="210"/>
      <c r="R39" s="115">
        <v>-461</v>
      </c>
      <c r="S39" s="115">
        <v>-164</v>
      </c>
      <c r="T39" s="115">
        <v>234</v>
      </c>
      <c r="U39" s="115">
        <v>679</v>
      </c>
    </row>
    <row r="40" spans="9:21" x14ac:dyDescent="0.25">
      <c r="I40" s="205" t="s">
        <v>221</v>
      </c>
      <c r="J40" s="206"/>
      <c r="K40" s="126" t="s">
        <v>150</v>
      </c>
      <c r="L40" s="126" t="s">
        <v>150</v>
      </c>
      <c r="M40" s="126">
        <v>-1.0620000000000001</v>
      </c>
      <c r="N40" s="126">
        <v>22.267900000000001</v>
      </c>
      <c r="P40" s="209" t="s">
        <v>157</v>
      </c>
      <c r="Q40" s="210"/>
      <c r="R40" s="115">
        <v>-448</v>
      </c>
      <c r="S40" s="115">
        <v>-141</v>
      </c>
      <c r="T40" s="115">
        <v>261</v>
      </c>
      <c r="U40" s="115">
        <v>698</v>
      </c>
    </row>
    <row r="41" spans="9:21" x14ac:dyDescent="0.25">
      <c r="I41" s="125"/>
      <c r="J41" s="127"/>
      <c r="K41" s="127"/>
      <c r="L41" s="127"/>
      <c r="M41" s="127"/>
      <c r="N41" s="127"/>
      <c r="P41" s="209" t="s">
        <v>158</v>
      </c>
      <c r="Q41" s="210"/>
      <c r="R41" s="116">
        <v>-8.6999999999999993</v>
      </c>
      <c r="S41" s="116">
        <v>-3.2</v>
      </c>
      <c r="T41" s="116">
        <v>3.7</v>
      </c>
      <c r="U41" s="116">
        <v>9</v>
      </c>
    </row>
    <row r="42" spans="9:21" x14ac:dyDescent="0.25">
      <c r="I42" s="205" t="s">
        <v>222</v>
      </c>
      <c r="J42" s="206"/>
      <c r="K42" s="126" t="s">
        <v>150</v>
      </c>
      <c r="L42" s="126" t="s">
        <v>150</v>
      </c>
      <c r="M42" s="126" t="s">
        <v>150</v>
      </c>
      <c r="N42" s="126">
        <v>0</v>
      </c>
      <c r="P42" s="209" t="s">
        <v>159</v>
      </c>
      <c r="Q42" s="210"/>
      <c r="R42" s="115">
        <v>5292</v>
      </c>
      <c r="S42" s="115">
        <v>5076</v>
      </c>
      <c r="T42" s="115">
        <v>6378</v>
      </c>
      <c r="U42" s="115">
        <v>7550</v>
      </c>
    </row>
    <row r="43" spans="9:21" x14ac:dyDescent="0.25">
      <c r="I43" s="205" t="s">
        <v>189</v>
      </c>
      <c r="J43" s="206" t="s">
        <v>190</v>
      </c>
      <c r="K43" s="126" t="s">
        <v>150</v>
      </c>
      <c r="L43" s="126" t="s">
        <v>150</v>
      </c>
      <c r="M43" s="126" t="s">
        <v>150</v>
      </c>
      <c r="N43" s="126">
        <v>18.299700000000001</v>
      </c>
      <c r="P43" s="209" t="s">
        <v>160</v>
      </c>
      <c r="Q43" s="210"/>
      <c r="R43" s="116" t="s">
        <v>150</v>
      </c>
      <c r="S43" s="116">
        <v>2</v>
      </c>
      <c r="T43" s="116">
        <v>25</v>
      </c>
      <c r="U43" s="116">
        <v>18</v>
      </c>
    </row>
    <row r="44" spans="9:21" x14ac:dyDescent="0.25">
      <c r="P44" s="207" t="s">
        <v>161</v>
      </c>
      <c r="Q44" s="208"/>
      <c r="R44" s="114"/>
      <c r="S44" s="114"/>
      <c r="T44" s="114"/>
      <c r="U44" s="114"/>
    </row>
    <row r="45" spans="9:21" x14ac:dyDescent="0.25">
      <c r="P45" s="209" t="s">
        <v>148</v>
      </c>
      <c r="Q45" s="210"/>
      <c r="R45" s="115">
        <v>-554</v>
      </c>
      <c r="S45" s="115">
        <v>-451</v>
      </c>
      <c r="T45" s="115">
        <v>-414</v>
      </c>
      <c r="U45" s="115">
        <v>-442</v>
      </c>
    </row>
    <row r="46" spans="9:21" x14ac:dyDescent="0.25">
      <c r="P46" s="209" t="s">
        <v>149</v>
      </c>
      <c r="Q46" s="210"/>
      <c r="R46" s="115" t="s">
        <v>150</v>
      </c>
      <c r="S46" s="115">
        <v>3341</v>
      </c>
      <c r="T46" s="115">
        <v>3613</v>
      </c>
      <c r="U46" s="115">
        <v>9952</v>
      </c>
    </row>
    <row r="47" spans="9:21" x14ac:dyDescent="0.25">
      <c r="P47" s="209" t="s">
        <v>151</v>
      </c>
      <c r="Q47" s="210"/>
      <c r="R47" s="115">
        <v>58</v>
      </c>
      <c r="S47" s="115">
        <v>1006</v>
      </c>
      <c r="T47" s="115">
        <v>136</v>
      </c>
      <c r="U47" s="115">
        <v>215</v>
      </c>
    </row>
    <row r="48" spans="9:21" x14ac:dyDescent="0.25">
      <c r="P48" s="209" t="s">
        <v>152</v>
      </c>
      <c r="Q48" s="210"/>
      <c r="R48" s="115">
        <v>-1</v>
      </c>
      <c r="S48" s="115">
        <v>-1</v>
      </c>
      <c r="T48" s="115">
        <v>-20</v>
      </c>
      <c r="U48" s="115">
        <v>-93</v>
      </c>
    </row>
    <row r="49" spans="16:21" x14ac:dyDescent="0.25">
      <c r="P49" s="209" t="s">
        <v>153</v>
      </c>
      <c r="Q49" s="210"/>
      <c r="R49" s="115" t="s">
        <v>150</v>
      </c>
      <c r="S49" s="115" t="s">
        <v>150</v>
      </c>
      <c r="T49" s="115">
        <v>-401</v>
      </c>
      <c r="U49" s="115">
        <v>-442</v>
      </c>
    </row>
    <row r="50" spans="16:21" x14ac:dyDescent="0.25">
      <c r="P50" s="209" t="s">
        <v>156</v>
      </c>
      <c r="Q50" s="210"/>
      <c r="R50" s="115">
        <v>-468</v>
      </c>
      <c r="S50" s="115">
        <v>-209</v>
      </c>
      <c r="T50" s="115">
        <v>-116</v>
      </c>
      <c r="U50" s="115">
        <v>-323</v>
      </c>
    </row>
    <row r="51" spans="16:21" x14ac:dyDescent="0.25">
      <c r="P51" s="209" t="s">
        <v>159</v>
      </c>
      <c r="Q51" s="210"/>
      <c r="R51" s="115">
        <v>-554</v>
      </c>
      <c r="S51" s="115">
        <v>-451</v>
      </c>
      <c r="T51" s="115" t="s">
        <v>150</v>
      </c>
      <c r="U51" s="115" t="s">
        <v>150</v>
      </c>
    </row>
    <row r="52" spans="16:21" x14ac:dyDescent="0.25">
      <c r="P52" s="117" t="s">
        <v>162</v>
      </c>
      <c r="Q52" s="117"/>
      <c r="R52" s="117"/>
      <c r="S52" s="117"/>
      <c r="T52" s="117"/>
      <c r="U52" s="117"/>
    </row>
  </sheetData>
  <mergeCells count="72">
    <mergeCell ref="P10:Q10"/>
    <mergeCell ref="P5:Q5"/>
    <mergeCell ref="P6:Q6"/>
    <mergeCell ref="P7:Q7"/>
    <mergeCell ref="P8:Q8"/>
    <mergeCell ref="P9:Q9"/>
    <mergeCell ref="P19:Q19"/>
    <mergeCell ref="P20:Q20"/>
    <mergeCell ref="P21:Q21"/>
    <mergeCell ref="P22:Q22"/>
    <mergeCell ref="P11:Q11"/>
    <mergeCell ref="P12:Q12"/>
    <mergeCell ref="P13:Q13"/>
    <mergeCell ref="P14:Q14"/>
    <mergeCell ref="P15:Q15"/>
    <mergeCell ref="P16:Q16"/>
    <mergeCell ref="P34:Q34"/>
    <mergeCell ref="P23:Q23"/>
    <mergeCell ref="P24:Q24"/>
    <mergeCell ref="P25:Q25"/>
    <mergeCell ref="P26:Q26"/>
    <mergeCell ref="P27:Q27"/>
    <mergeCell ref="P28:Q28"/>
    <mergeCell ref="P29:Q29"/>
    <mergeCell ref="P30:Q30"/>
    <mergeCell ref="P31:Q31"/>
    <mergeCell ref="P32:Q32"/>
    <mergeCell ref="P33:Q33"/>
    <mergeCell ref="P46:Q46"/>
    <mergeCell ref="P35:Q35"/>
    <mergeCell ref="P36:Q36"/>
    <mergeCell ref="P37:Q37"/>
    <mergeCell ref="P38:Q38"/>
    <mergeCell ref="P39:Q39"/>
    <mergeCell ref="P40:Q40"/>
    <mergeCell ref="P41:Q41"/>
    <mergeCell ref="P42:Q42"/>
    <mergeCell ref="P43:Q43"/>
    <mergeCell ref="P44:Q44"/>
    <mergeCell ref="P45:Q45"/>
    <mergeCell ref="P47:Q47"/>
    <mergeCell ref="P48:Q48"/>
    <mergeCell ref="P49:Q49"/>
    <mergeCell ref="P50:Q50"/>
    <mergeCell ref="P51:Q51"/>
    <mergeCell ref="I1:N1"/>
    <mergeCell ref="P1:U1"/>
    <mergeCell ref="I27:N27"/>
    <mergeCell ref="I13:J13"/>
    <mergeCell ref="I14:J14"/>
    <mergeCell ref="I15:J15"/>
    <mergeCell ref="I16:J16"/>
    <mergeCell ref="I17:J17"/>
    <mergeCell ref="I18:J18"/>
    <mergeCell ref="I6:J6"/>
    <mergeCell ref="I7:J7"/>
    <mergeCell ref="I8:J8"/>
    <mergeCell ref="I11:J11"/>
    <mergeCell ref="I12:J12"/>
    <mergeCell ref="P17:Q17"/>
    <mergeCell ref="P18:Q18"/>
    <mergeCell ref="I43:J43"/>
    <mergeCell ref="A5:B5"/>
    <mergeCell ref="A6:B6"/>
    <mergeCell ref="I32:J32"/>
    <mergeCell ref="I36:J36"/>
    <mergeCell ref="I38:J38"/>
    <mergeCell ref="I40:J40"/>
    <mergeCell ref="I42:J42"/>
    <mergeCell ref="I21:J21"/>
    <mergeCell ref="I22:J22"/>
    <mergeCell ref="I23:J23"/>
  </mergeCells>
  <phoneticPr fontId="1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5D059-83CB-428E-BD26-89BC6D633973}">
  <sheetPr codeName="Sheet4"/>
  <dimension ref="A1:W588"/>
  <sheetViews>
    <sheetView topLeftCell="A36" workbookViewId="0">
      <selection activeCell="V93" sqref="V93"/>
    </sheetView>
  </sheetViews>
  <sheetFormatPr defaultRowHeight="15" x14ac:dyDescent="0.25"/>
  <sheetData>
    <row r="1" spans="1:23" ht="15" customHeight="1" x14ac:dyDescent="0.25">
      <c r="A1" s="213" t="s">
        <v>132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3"/>
      <c r="R1" s="213"/>
      <c r="S1" s="106"/>
      <c r="T1" s="106"/>
      <c r="U1" s="106"/>
      <c r="V1" s="106"/>
      <c r="W1" s="106"/>
    </row>
    <row r="2" spans="1:23" x14ac:dyDescent="0.25">
      <c r="A2" s="213"/>
      <c r="B2" s="213"/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13"/>
      <c r="R2" s="213"/>
      <c r="S2" s="106"/>
      <c r="T2" s="106"/>
      <c r="U2" s="106"/>
      <c r="V2" s="106"/>
      <c r="W2" s="106"/>
    </row>
    <row r="3" spans="1:23" x14ac:dyDescent="0.25">
      <c r="A3" s="213"/>
      <c r="B3" s="213"/>
      <c r="C3" s="213"/>
      <c r="D3" s="213"/>
      <c r="E3" s="213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  <c r="Q3" s="213"/>
      <c r="R3" s="213"/>
      <c r="S3" s="106"/>
      <c r="T3" s="106"/>
      <c r="U3" s="106"/>
      <c r="V3" s="106"/>
      <c r="W3" s="106"/>
    </row>
    <row r="4" spans="1:23" x14ac:dyDescent="0.25">
      <c r="A4" s="213"/>
      <c r="B4" s="213"/>
      <c r="C4" s="213"/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  <c r="Q4" s="213"/>
      <c r="R4" s="213"/>
      <c r="S4" s="106"/>
      <c r="T4" s="106"/>
      <c r="U4" s="106"/>
      <c r="V4" s="106"/>
      <c r="W4" s="106"/>
    </row>
    <row r="5" spans="1:23" x14ac:dyDescent="0.25">
      <c r="A5" s="213"/>
      <c r="B5" s="213"/>
      <c r="C5" s="213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3"/>
      <c r="Q5" s="213"/>
      <c r="R5" s="213"/>
      <c r="S5" s="106"/>
      <c r="T5" s="106"/>
      <c r="U5" s="106"/>
      <c r="V5" s="106"/>
      <c r="W5" s="106"/>
    </row>
    <row r="6" spans="1:23" x14ac:dyDescent="0.25">
      <c r="A6" s="213"/>
      <c r="B6" s="213"/>
      <c r="C6" s="213"/>
      <c r="D6" s="213"/>
      <c r="E6" s="213"/>
      <c r="F6" s="213"/>
      <c r="G6" s="213"/>
      <c r="H6" s="213"/>
      <c r="I6" s="213"/>
      <c r="J6" s="213"/>
      <c r="K6" s="213"/>
      <c r="L6" s="213"/>
      <c r="M6" s="213"/>
      <c r="N6" s="213"/>
      <c r="O6" s="213"/>
      <c r="P6" s="213"/>
      <c r="Q6" s="213"/>
      <c r="R6" s="213"/>
      <c r="S6" s="106"/>
      <c r="T6" s="106"/>
      <c r="U6" s="106"/>
      <c r="V6" s="106"/>
      <c r="W6" s="106"/>
    </row>
    <row r="7" spans="1:23" x14ac:dyDescent="0.25">
      <c r="A7" s="213"/>
      <c r="B7" s="213"/>
      <c r="C7" s="213"/>
      <c r="D7" s="213"/>
      <c r="E7" s="213"/>
      <c r="F7" s="213"/>
      <c r="G7" s="213"/>
      <c r="H7" s="213"/>
      <c r="I7" s="213"/>
      <c r="J7" s="213"/>
      <c r="K7" s="213"/>
      <c r="L7" s="213"/>
      <c r="M7" s="213"/>
      <c r="N7" s="213"/>
      <c r="O7" s="213"/>
      <c r="P7" s="213"/>
      <c r="Q7" s="213"/>
      <c r="R7" s="213"/>
      <c r="S7" s="106"/>
      <c r="T7" s="106"/>
      <c r="U7" s="106"/>
      <c r="V7" s="106"/>
      <c r="W7" s="106"/>
    </row>
    <row r="8" spans="1:23" x14ac:dyDescent="0.25">
      <c r="A8" s="213"/>
      <c r="B8" s="213"/>
      <c r="C8" s="213"/>
      <c r="D8" s="213"/>
      <c r="E8" s="213"/>
      <c r="F8" s="213"/>
      <c r="G8" s="213"/>
      <c r="H8" s="213"/>
      <c r="I8" s="213"/>
      <c r="J8" s="213"/>
      <c r="K8" s="213"/>
      <c r="L8" s="213"/>
      <c r="M8" s="213"/>
      <c r="N8" s="213"/>
      <c r="O8" s="213"/>
      <c r="P8" s="213"/>
      <c r="Q8" s="213"/>
      <c r="R8" s="213"/>
      <c r="S8" s="106"/>
      <c r="T8" s="106"/>
      <c r="U8" s="106"/>
      <c r="V8" s="106"/>
      <c r="W8" s="106"/>
    </row>
    <row r="9" spans="1:23" x14ac:dyDescent="0.25">
      <c r="A9" s="213"/>
      <c r="B9" s="213"/>
      <c r="C9" s="213"/>
      <c r="D9" s="213"/>
      <c r="E9" s="213"/>
      <c r="F9" s="213"/>
      <c r="G9" s="213"/>
      <c r="H9" s="213"/>
      <c r="I9" s="213"/>
      <c r="J9" s="213"/>
      <c r="K9" s="213"/>
      <c r="L9" s="213"/>
      <c r="M9" s="213"/>
      <c r="N9" s="213"/>
      <c r="O9" s="213"/>
      <c r="P9" s="213"/>
      <c r="Q9" s="213"/>
      <c r="R9" s="213"/>
      <c r="S9" s="106"/>
      <c r="T9" s="106"/>
      <c r="U9" s="106"/>
      <c r="V9" s="106"/>
      <c r="W9" s="106"/>
    </row>
    <row r="10" spans="1:23" x14ac:dyDescent="0.25">
      <c r="A10" s="213"/>
      <c r="B10" s="213"/>
      <c r="C10" s="213"/>
      <c r="D10" s="213"/>
      <c r="E10" s="213"/>
      <c r="F10" s="213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213"/>
      <c r="R10" s="213"/>
      <c r="S10" s="106"/>
      <c r="T10" s="106"/>
      <c r="U10" s="106"/>
      <c r="V10" s="106"/>
      <c r="W10" s="106"/>
    </row>
    <row r="11" spans="1:23" x14ac:dyDescent="0.25">
      <c r="A11" s="213"/>
      <c r="B11" s="213"/>
      <c r="C11" s="213"/>
      <c r="D11" s="213"/>
      <c r="E11" s="213"/>
      <c r="F11" s="213"/>
      <c r="G11" s="213"/>
      <c r="H11" s="213"/>
      <c r="I11" s="213"/>
      <c r="J11" s="213"/>
      <c r="K11" s="213"/>
      <c r="L11" s="213"/>
      <c r="M11" s="213"/>
      <c r="N11" s="213"/>
      <c r="O11" s="213"/>
      <c r="P11" s="213"/>
      <c r="Q11" s="213"/>
      <c r="R11" s="213"/>
      <c r="S11" s="106"/>
      <c r="T11" s="106"/>
      <c r="U11" s="106"/>
      <c r="V11" s="106"/>
      <c r="W11" s="106"/>
    </row>
    <row r="12" spans="1:23" x14ac:dyDescent="0.25">
      <c r="A12" s="213"/>
      <c r="B12" s="213"/>
      <c r="C12" s="213"/>
      <c r="D12" s="213"/>
      <c r="E12" s="213"/>
      <c r="F12" s="213"/>
      <c r="G12" s="213"/>
      <c r="H12" s="213"/>
      <c r="I12" s="213"/>
      <c r="J12" s="213"/>
      <c r="K12" s="213"/>
      <c r="L12" s="213"/>
      <c r="M12" s="213"/>
      <c r="N12" s="213"/>
      <c r="O12" s="213"/>
      <c r="P12" s="213"/>
      <c r="Q12" s="213"/>
      <c r="R12" s="213"/>
      <c r="S12" s="106"/>
      <c r="T12" s="106"/>
      <c r="U12" s="106"/>
      <c r="V12" s="106"/>
      <c r="W12" s="106"/>
    </row>
    <row r="13" spans="1:23" x14ac:dyDescent="0.25">
      <c r="A13" s="213"/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3"/>
      <c r="P13" s="213"/>
      <c r="Q13" s="213"/>
      <c r="R13" s="213"/>
      <c r="S13" s="106"/>
      <c r="T13" s="106"/>
      <c r="U13" s="106"/>
      <c r="V13" s="106"/>
      <c r="W13" s="106"/>
    </row>
    <row r="14" spans="1:23" x14ac:dyDescent="0.25">
      <c r="A14" s="213"/>
      <c r="B14" s="213"/>
      <c r="C14" s="213"/>
      <c r="D14" s="213"/>
      <c r="E14" s="213"/>
      <c r="F14" s="213"/>
      <c r="G14" s="213"/>
      <c r="H14" s="213"/>
      <c r="I14" s="213"/>
      <c r="J14" s="213"/>
      <c r="K14" s="213"/>
      <c r="L14" s="213"/>
      <c r="M14" s="213"/>
      <c r="N14" s="213"/>
      <c r="O14" s="213"/>
      <c r="P14" s="213"/>
      <c r="Q14" s="213"/>
      <c r="R14" s="213"/>
      <c r="S14" s="106"/>
      <c r="T14" s="106"/>
      <c r="U14" s="106"/>
      <c r="V14" s="106"/>
      <c r="W14" s="106"/>
    </row>
    <row r="15" spans="1:23" x14ac:dyDescent="0.25">
      <c r="A15" s="213"/>
      <c r="B15" s="213"/>
      <c r="C15" s="213"/>
      <c r="D15" s="213"/>
      <c r="E15" s="213"/>
      <c r="F15" s="213"/>
      <c r="G15" s="213"/>
      <c r="H15" s="213"/>
      <c r="I15" s="213"/>
      <c r="J15" s="213"/>
      <c r="K15" s="213"/>
      <c r="L15" s="213"/>
      <c r="M15" s="213"/>
      <c r="N15" s="213"/>
      <c r="O15" s="213"/>
      <c r="P15" s="213"/>
      <c r="Q15" s="213"/>
      <c r="R15" s="213"/>
      <c r="S15" s="106"/>
      <c r="T15" s="106"/>
      <c r="U15" s="106"/>
      <c r="V15" s="106"/>
      <c r="W15" s="106"/>
    </row>
    <row r="16" spans="1:23" x14ac:dyDescent="0.25">
      <c r="A16" s="213"/>
      <c r="B16" s="213"/>
      <c r="C16" s="213"/>
      <c r="D16" s="213"/>
      <c r="E16" s="213"/>
      <c r="F16" s="213"/>
      <c r="G16" s="213"/>
      <c r="H16" s="213"/>
      <c r="I16" s="213"/>
      <c r="J16" s="213"/>
      <c r="K16" s="213"/>
      <c r="L16" s="213"/>
      <c r="M16" s="213"/>
      <c r="N16" s="213"/>
      <c r="O16" s="213"/>
      <c r="P16" s="213"/>
      <c r="Q16" s="213"/>
      <c r="R16" s="213"/>
      <c r="S16" s="106"/>
      <c r="T16" s="106"/>
      <c r="U16" s="106"/>
      <c r="V16" s="106"/>
      <c r="W16" s="106"/>
    </row>
    <row r="17" spans="1:23" x14ac:dyDescent="0.25">
      <c r="A17" s="213"/>
      <c r="B17" s="213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213"/>
      <c r="O17" s="213"/>
      <c r="P17" s="213"/>
      <c r="Q17" s="213"/>
      <c r="R17" s="213"/>
      <c r="S17" s="106"/>
      <c r="T17" s="106"/>
      <c r="U17" s="106"/>
      <c r="V17" s="106"/>
      <c r="W17" s="106"/>
    </row>
    <row r="18" spans="1:23" x14ac:dyDescent="0.25">
      <c r="A18" s="213"/>
      <c r="B18" s="213"/>
      <c r="C18" s="213"/>
      <c r="D18" s="213"/>
      <c r="E18" s="213"/>
      <c r="F18" s="213"/>
      <c r="G18" s="213"/>
      <c r="H18" s="213"/>
      <c r="I18" s="213"/>
      <c r="J18" s="213"/>
      <c r="K18" s="213"/>
      <c r="L18" s="213"/>
      <c r="M18" s="213"/>
      <c r="N18" s="213"/>
      <c r="O18" s="213"/>
      <c r="P18" s="213"/>
      <c r="Q18" s="213"/>
      <c r="R18" s="213"/>
      <c r="S18" s="106"/>
      <c r="T18" s="106"/>
      <c r="U18" s="106"/>
      <c r="V18" s="106"/>
      <c r="W18" s="106"/>
    </row>
    <row r="19" spans="1:23" x14ac:dyDescent="0.25">
      <c r="A19" s="213"/>
      <c r="B19" s="213"/>
      <c r="C19" s="213"/>
      <c r="D19" s="213"/>
      <c r="E19" s="213"/>
      <c r="F19" s="213"/>
      <c r="G19" s="213"/>
      <c r="H19" s="213"/>
      <c r="I19" s="213"/>
      <c r="J19" s="213"/>
      <c r="K19" s="213"/>
      <c r="L19" s="213"/>
      <c r="M19" s="213"/>
      <c r="N19" s="213"/>
      <c r="O19" s="213"/>
      <c r="P19" s="213"/>
      <c r="Q19" s="213"/>
      <c r="R19" s="213"/>
      <c r="S19" s="106"/>
      <c r="T19" s="106"/>
      <c r="U19" s="106"/>
      <c r="V19" s="106"/>
      <c r="W19" s="106"/>
    </row>
    <row r="20" spans="1:23" x14ac:dyDescent="0.25">
      <c r="A20" s="213"/>
      <c r="B20" s="213"/>
      <c r="C20" s="213"/>
      <c r="D20" s="213"/>
      <c r="E20" s="213"/>
      <c r="F20" s="213"/>
      <c r="G20" s="213"/>
      <c r="H20" s="213"/>
      <c r="I20" s="213"/>
      <c r="J20" s="213"/>
      <c r="K20" s="213"/>
      <c r="L20" s="213"/>
      <c r="M20" s="213"/>
      <c r="N20" s="213"/>
      <c r="O20" s="213"/>
      <c r="P20" s="213"/>
      <c r="Q20" s="213"/>
      <c r="R20" s="213"/>
      <c r="S20" s="106"/>
      <c r="T20" s="106"/>
      <c r="U20" s="106"/>
      <c r="V20" s="106"/>
      <c r="W20" s="106"/>
    </row>
    <row r="21" spans="1:23" x14ac:dyDescent="0.25">
      <c r="A21" s="213"/>
      <c r="B21" s="213"/>
      <c r="C21" s="213"/>
      <c r="D21" s="213"/>
      <c r="E21" s="213"/>
      <c r="F21" s="213"/>
      <c r="G21" s="213"/>
      <c r="H21" s="213"/>
      <c r="I21" s="213"/>
      <c r="J21" s="213"/>
      <c r="K21" s="213"/>
      <c r="L21" s="213"/>
      <c r="M21" s="213"/>
      <c r="N21" s="213"/>
      <c r="O21" s="213"/>
      <c r="P21" s="213"/>
      <c r="Q21" s="213"/>
      <c r="R21" s="213"/>
      <c r="S21" s="106"/>
      <c r="T21" s="106"/>
      <c r="U21" s="106"/>
      <c r="V21" s="106"/>
      <c r="W21" s="106"/>
    </row>
    <row r="22" spans="1:23" x14ac:dyDescent="0.25">
      <c r="A22" s="213"/>
      <c r="B22" s="213"/>
      <c r="C22" s="213"/>
      <c r="D22" s="213"/>
      <c r="E22" s="213"/>
      <c r="F22" s="213"/>
      <c r="G22" s="213"/>
      <c r="H22" s="213"/>
      <c r="I22" s="213"/>
      <c r="J22" s="213"/>
      <c r="K22" s="213"/>
      <c r="L22" s="213"/>
      <c r="M22" s="213"/>
      <c r="N22" s="213"/>
      <c r="O22" s="213"/>
      <c r="P22" s="213"/>
      <c r="Q22" s="213"/>
      <c r="R22" s="213"/>
      <c r="S22" s="106"/>
      <c r="T22" s="106"/>
      <c r="U22" s="106"/>
      <c r="V22" s="106"/>
      <c r="W22" s="106"/>
    </row>
    <row r="23" spans="1:23" x14ac:dyDescent="0.25">
      <c r="A23" s="213"/>
      <c r="B23" s="213"/>
      <c r="C23" s="213"/>
      <c r="D23" s="213"/>
      <c r="E23" s="213"/>
      <c r="F23" s="213"/>
      <c r="G23" s="213"/>
      <c r="H23" s="213"/>
      <c r="I23" s="213"/>
      <c r="J23" s="213"/>
      <c r="K23" s="213"/>
      <c r="L23" s="213"/>
      <c r="M23" s="213"/>
      <c r="N23" s="213"/>
      <c r="O23" s="213"/>
      <c r="P23" s="213"/>
      <c r="Q23" s="213"/>
      <c r="R23" s="213"/>
      <c r="S23" s="106"/>
      <c r="T23" s="106"/>
      <c r="U23" s="106"/>
      <c r="V23" s="106"/>
      <c r="W23" s="106"/>
    </row>
    <row r="24" spans="1:23" x14ac:dyDescent="0.25">
      <c r="A24" s="213"/>
      <c r="B24" s="213"/>
      <c r="C24" s="213"/>
      <c r="D24" s="213"/>
      <c r="E24" s="213"/>
      <c r="F24" s="213"/>
      <c r="G24" s="213"/>
      <c r="H24" s="213"/>
      <c r="I24" s="213"/>
      <c r="J24" s="213"/>
      <c r="K24" s="213"/>
      <c r="L24" s="213"/>
      <c r="M24" s="213"/>
      <c r="N24" s="213"/>
      <c r="O24" s="213"/>
      <c r="P24" s="213"/>
      <c r="Q24" s="213"/>
      <c r="R24" s="213"/>
      <c r="S24" s="106"/>
      <c r="T24" s="106"/>
      <c r="U24" s="106"/>
      <c r="V24" s="106"/>
      <c r="W24" s="106"/>
    </row>
    <row r="25" spans="1:23" x14ac:dyDescent="0.25">
      <c r="A25" s="213"/>
      <c r="B25" s="213"/>
      <c r="C25" s="213"/>
      <c r="D25" s="213"/>
      <c r="E25" s="213"/>
      <c r="F25" s="213"/>
      <c r="G25" s="213"/>
      <c r="H25" s="213"/>
      <c r="I25" s="213"/>
      <c r="J25" s="213"/>
      <c r="K25" s="213"/>
      <c r="L25" s="213"/>
      <c r="M25" s="213"/>
      <c r="N25" s="213"/>
      <c r="O25" s="213"/>
      <c r="P25" s="213"/>
      <c r="Q25" s="213"/>
      <c r="R25" s="213"/>
      <c r="S25" s="106"/>
      <c r="T25" s="106"/>
      <c r="U25" s="106"/>
      <c r="V25" s="106"/>
      <c r="W25" s="106"/>
    </row>
    <row r="26" spans="1:23" x14ac:dyDescent="0.25">
      <c r="A26" s="213"/>
      <c r="B26" s="213"/>
      <c r="C26" s="213"/>
      <c r="D26" s="213"/>
      <c r="E26" s="213"/>
      <c r="F26" s="213"/>
      <c r="G26" s="213"/>
      <c r="H26" s="213"/>
      <c r="I26" s="213"/>
      <c r="J26" s="213"/>
      <c r="K26" s="213"/>
      <c r="L26" s="213"/>
      <c r="M26" s="213"/>
      <c r="N26" s="213"/>
      <c r="O26" s="213"/>
      <c r="P26" s="213"/>
      <c r="Q26" s="213"/>
      <c r="R26" s="213"/>
      <c r="S26" s="106"/>
      <c r="T26" s="106"/>
      <c r="U26" s="106"/>
      <c r="V26" s="106"/>
      <c r="W26" s="106"/>
    </row>
    <row r="27" spans="1:23" x14ac:dyDescent="0.25">
      <c r="A27" s="213"/>
      <c r="B27" s="213"/>
      <c r="C27" s="213"/>
      <c r="D27" s="213"/>
      <c r="E27" s="213"/>
      <c r="F27" s="213"/>
      <c r="G27" s="213"/>
      <c r="H27" s="213"/>
      <c r="I27" s="213"/>
      <c r="J27" s="213"/>
      <c r="K27" s="213"/>
      <c r="L27" s="213"/>
      <c r="M27" s="213"/>
      <c r="N27" s="213"/>
      <c r="O27" s="213"/>
      <c r="P27" s="213"/>
      <c r="Q27" s="213"/>
      <c r="R27" s="213"/>
      <c r="S27" s="106"/>
      <c r="T27" s="106"/>
      <c r="U27" s="106"/>
      <c r="V27" s="106"/>
      <c r="W27" s="106"/>
    </row>
    <row r="28" spans="1:23" x14ac:dyDescent="0.25">
      <c r="A28" s="213"/>
      <c r="B28" s="213"/>
      <c r="C28" s="213"/>
      <c r="D28" s="213"/>
      <c r="E28" s="213"/>
      <c r="F28" s="213"/>
      <c r="G28" s="213"/>
      <c r="H28" s="213"/>
      <c r="I28" s="213"/>
      <c r="J28" s="213"/>
      <c r="K28" s="213"/>
      <c r="L28" s="213"/>
      <c r="M28" s="213"/>
      <c r="N28" s="213"/>
      <c r="O28" s="213"/>
      <c r="P28" s="213"/>
      <c r="Q28" s="213"/>
      <c r="R28" s="213"/>
      <c r="S28" s="106"/>
      <c r="T28" s="106"/>
      <c r="U28" s="106"/>
      <c r="V28" s="106"/>
      <c r="W28" s="106"/>
    </row>
    <row r="29" spans="1:23" x14ac:dyDescent="0.25">
      <c r="A29" s="213"/>
      <c r="B29" s="213"/>
      <c r="C29" s="213"/>
      <c r="D29" s="213"/>
      <c r="E29" s="213"/>
      <c r="F29" s="213"/>
      <c r="G29" s="213"/>
      <c r="H29" s="213"/>
      <c r="I29" s="213"/>
      <c r="J29" s="213"/>
      <c r="K29" s="213"/>
      <c r="L29" s="213"/>
      <c r="M29" s="213"/>
      <c r="N29" s="213"/>
      <c r="O29" s="213"/>
      <c r="P29" s="213"/>
      <c r="Q29" s="213"/>
      <c r="R29" s="213"/>
      <c r="S29" s="106"/>
      <c r="T29" s="106"/>
      <c r="U29" s="106"/>
      <c r="V29" s="106"/>
      <c r="W29" s="106"/>
    </row>
    <row r="30" spans="1:23" x14ac:dyDescent="0.25">
      <c r="A30" s="213"/>
      <c r="B30" s="213"/>
      <c r="C30" s="213"/>
      <c r="D30" s="213"/>
      <c r="E30" s="213"/>
      <c r="F30" s="213"/>
      <c r="G30" s="213"/>
      <c r="H30" s="213"/>
      <c r="I30" s="213"/>
      <c r="J30" s="213"/>
      <c r="K30" s="213"/>
      <c r="L30" s="213"/>
      <c r="M30" s="213"/>
      <c r="N30" s="213"/>
      <c r="O30" s="213"/>
      <c r="P30" s="213"/>
      <c r="Q30" s="213"/>
      <c r="R30" s="213"/>
      <c r="S30" s="106"/>
      <c r="T30" s="106"/>
      <c r="U30" s="106"/>
      <c r="V30" s="106"/>
      <c r="W30" s="106"/>
    </row>
    <row r="31" spans="1:23" x14ac:dyDescent="0.25">
      <c r="A31" s="213"/>
      <c r="B31" s="213"/>
      <c r="C31" s="213"/>
      <c r="D31" s="213"/>
      <c r="E31" s="213"/>
      <c r="F31" s="213"/>
      <c r="G31" s="213"/>
      <c r="H31" s="213"/>
      <c r="I31" s="213"/>
      <c r="J31" s="213"/>
      <c r="K31" s="213"/>
      <c r="L31" s="213"/>
      <c r="M31" s="213"/>
      <c r="N31" s="213"/>
      <c r="O31" s="213"/>
      <c r="P31" s="213"/>
      <c r="Q31" s="213"/>
      <c r="R31" s="213"/>
      <c r="S31" s="106"/>
      <c r="T31" s="106"/>
      <c r="U31" s="106"/>
      <c r="V31" s="106"/>
      <c r="W31" s="106"/>
    </row>
    <row r="32" spans="1:23" x14ac:dyDescent="0.25">
      <c r="A32" s="213"/>
      <c r="B32" s="213"/>
      <c r="C32" s="213"/>
      <c r="D32" s="213"/>
      <c r="E32" s="213"/>
      <c r="F32" s="213"/>
      <c r="G32" s="213"/>
      <c r="H32" s="213"/>
      <c r="I32" s="213"/>
      <c r="J32" s="213"/>
      <c r="K32" s="213"/>
      <c r="L32" s="213"/>
      <c r="M32" s="213"/>
      <c r="N32" s="213"/>
      <c r="O32" s="213"/>
      <c r="P32" s="213"/>
      <c r="Q32" s="213"/>
      <c r="R32" s="213"/>
      <c r="S32" s="106"/>
      <c r="T32" s="106"/>
      <c r="U32" s="106"/>
      <c r="V32" s="106"/>
      <c r="W32" s="106"/>
    </row>
    <row r="33" spans="1:23" x14ac:dyDescent="0.25">
      <c r="A33" s="213"/>
      <c r="B33" s="213"/>
      <c r="C33" s="213"/>
      <c r="D33" s="213"/>
      <c r="E33" s="213"/>
      <c r="F33" s="213"/>
      <c r="G33" s="213"/>
      <c r="H33" s="213"/>
      <c r="I33" s="213"/>
      <c r="J33" s="213"/>
      <c r="K33" s="213"/>
      <c r="L33" s="213"/>
      <c r="M33" s="213"/>
      <c r="N33" s="213"/>
      <c r="O33" s="213"/>
      <c r="P33" s="213"/>
      <c r="Q33" s="213"/>
      <c r="R33" s="213"/>
      <c r="S33" s="106"/>
      <c r="T33" s="106"/>
      <c r="U33" s="106"/>
      <c r="V33" s="106"/>
      <c r="W33" s="106"/>
    </row>
    <row r="34" spans="1:23" x14ac:dyDescent="0.25">
      <c r="A34" s="213"/>
      <c r="B34" s="213"/>
      <c r="C34" s="213"/>
      <c r="D34" s="213"/>
      <c r="E34" s="213"/>
      <c r="F34" s="213"/>
      <c r="G34" s="213"/>
      <c r="H34" s="213"/>
      <c r="I34" s="213"/>
      <c r="J34" s="213"/>
      <c r="K34" s="213"/>
      <c r="L34" s="213"/>
      <c r="M34" s="213"/>
      <c r="N34" s="213"/>
      <c r="O34" s="213"/>
      <c r="P34" s="213"/>
      <c r="Q34" s="213"/>
      <c r="R34" s="213"/>
      <c r="S34" s="106"/>
      <c r="T34" s="106"/>
      <c r="U34" s="106"/>
      <c r="V34" s="106"/>
      <c r="W34" s="106"/>
    </row>
    <row r="35" spans="1:23" x14ac:dyDescent="0.25">
      <c r="A35" s="213"/>
      <c r="B35" s="213"/>
      <c r="C35" s="213"/>
      <c r="D35" s="213"/>
      <c r="E35" s="213"/>
      <c r="F35" s="213"/>
      <c r="G35" s="213"/>
      <c r="H35" s="213"/>
      <c r="I35" s="213"/>
      <c r="J35" s="213"/>
      <c r="K35" s="213"/>
      <c r="L35" s="213"/>
      <c r="M35" s="213"/>
      <c r="N35" s="213"/>
      <c r="O35" s="213"/>
      <c r="P35" s="213"/>
      <c r="Q35" s="213"/>
      <c r="R35" s="213"/>
      <c r="S35" s="106"/>
      <c r="T35" s="106"/>
      <c r="U35" s="106"/>
      <c r="V35" s="106"/>
      <c r="W35" s="106"/>
    </row>
    <row r="36" spans="1:23" x14ac:dyDescent="0.25">
      <c r="A36" s="213"/>
      <c r="B36" s="213"/>
      <c r="C36" s="213"/>
      <c r="D36" s="213"/>
      <c r="E36" s="213"/>
      <c r="F36" s="213"/>
      <c r="G36" s="213"/>
      <c r="H36" s="213"/>
      <c r="I36" s="213"/>
      <c r="J36" s="213"/>
      <c r="K36" s="213"/>
      <c r="L36" s="213"/>
      <c r="M36" s="213"/>
      <c r="N36" s="213"/>
      <c r="O36" s="213"/>
      <c r="P36" s="213"/>
      <c r="Q36" s="213"/>
      <c r="R36" s="213"/>
      <c r="S36" s="106"/>
      <c r="T36" s="106"/>
      <c r="U36" s="106"/>
      <c r="V36" s="106"/>
      <c r="W36" s="106"/>
    </row>
    <row r="37" spans="1:23" x14ac:dyDescent="0.25">
      <c r="A37" s="213"/>
      <c r="B37" s="213"/>
      <c r="C37" s="213"/>
      <c r="D37" s="213"/>
      <c r="E37" s="213"/>
      <c r="F37" s="213"/>
      <c r="G37" s="213"/>
      <c r="H37" s="213"/>
      <c r="I37" s="213"/>
      <c r="J37" s="213"/>
      <c r="K37" s="213"/>
      <c r="L37" s="213"/>
      <c r="M37" s="213"/>
      <c r="N37" s="213"/>
      <c r="O37" s="213"/>
      <c r="P37" s="213"/>
      <c r="Q37" s="213"/>
      <c r="R37" s="213"/>
      <c r="S37" s="106"/>
      <c r="T37" s="106"/>
      <c r="U37" s="106"/>
      <c r="V37" s="106"/>
      <c r="W37" s="106"/>
    </row>
    <row r="38" spans="1:23" x14ac:dyDescent="0.25">
      <c r="A38" s="213"/>
      <c r="B38" s="213"/>
      <c r="C38" s="213"/>
      <c r="D38" s="213"/>
      <c r="E38" s="213"/>
      <c r="F38" s="213"/>
      <c r="G38" s="213"/>
      <c r="H38" s="213"/>
      <c r="I38" s="213"/>
      <c r="J38" s="213"/>
      <c r="K38" s="213"/>
      <c r="L38" s="213"/>
      <c r="M38" s="213"/>
      <c r="N38" s="213"/>
      <c r="O38" s="213"/>
      <c r="P38" s="213"/>
      <c r="Q38" s="213"/>
      <c r="R38" s="213"/>
      <c r="S38" s="106"/>
      <c r="T38" s="106"/>
      <c r="U38" s="106"/>
      <c r="V38" s="106"/>
      <c r="W38" s="106"/>
    </row>
    <row r="39" spans="1:23" x14ac:dyDescent="0.25">
      <c r="A39" s="213"/>
      <c r="B39" s="213"/>
      <c r="C39" s="213"/>
      <c r="D39" s="213"/>
      <c r="E39" s="213"/>
      <c r="F39" s="213"/>
      <c r="G39" s="213"/>
      <c r="H39" s="213"/>
      <c r="I39" s="213"/>
      <c r="J39" s="213"/>
      <c r="K39" s="213"/>
      <c r="L39" s="213"/>
      <c r="M39" s="213"/>
      <c r="N39" s="213"/>
      <c r="O39" s="213"/>
      <c r="P39" s="213"/>
      <c r="Q39" s="213"/>
      <c r="R39" s="213"/>
    </row>
    <row r="40" spans="1:23" x14ac:dyDescent="0.25">
      <c r="A40" s="213"/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3"/>
      <c r="P40" s="213"/>
      <c r="Q40" s="213"/>
      <c r="R40" s="213"/>
    </row>
    <row r="41" spans="1:23" x14ac:dyDescent="0.25">
      <c r="A41" s="213"/>
      <c r="B41" s="213"/>
      <c r="C41" s="213"/>
      <c r="D41" s="213"/>
      <c r="E41" s="213"/>
      <c r="F41" s="213"/>
      <c r="G41" s="213"/>
      <c r="H41" s="213"/>
      <c r="I41" s="213"/>
      <c r="J41" s="213"/>
      <c r="K41" s="213"/>
      <c r="L41" s="213"/>
      <c r="M41" s="213"/>
      <c r="N41" s="213"/>
      <c r="O41" s="213"/>
      <c r="P41" s="213"/>
      <c r="Q41" s="213"/>
      <c r="R41" s="213"/>
    </row>
    <row r="42" spans="1:23" x14ac:dyDescent="0.25">
      <c r="A42" s="213"/>
      <c r="B42" s="213"/>
      <c r="C42" s="213"/>
      <c r="D42" s="213"/>
      <c r="E42" s="213"/>
      <c r="F42" s="213"/>
      <c r="G42" s="213"/>
      <c r="H42" s="213"/>
      <c r="I42" s="213"/>
      <c r="J42" s="213"/>
      <c r="K42" s="213"/>
      <c r="L42" s="213"/>
      <c r="M42" s="213"/>
      <c r="N42" s="213"/>
      <c r="O42" s="213"/>
      <c r="P42" s="213"/>
      <c r="Q42" s="213"/>
      <c r="R42" s="213"/>
    </row>
    <row r="43" spans="1:23" x14ac:dyDescent="0.25">
      <c r="A43" s="213"/>
      <c r="B43" s="213"/>
      <c r="C43" s="213"/>
      <c r="D43" s="213"/>
      <c r="E43" s="213"/>
      <c r="F43" s="213"/>
      <c r="G43" s="213"/>
      <c r="H43" s="213"/>
      <c r="I43" s="213"/>
      <c r="J43" s="213"/>
      <c r="K43" s="213"/>
      <c r="L43" s="213"/>
      <c r="M43" s="213"/>
      <c r="N43" s="213"/>
      <c r="O43" s="213"/>
      <c r="P43" s="213"/>
      <c r="Q43" s="213"/>
      <c r="R43" s="213"/>
    </row>
    <row r="44" spans="1:23" x14ac:dyDescent="0.25">
      <c r="A44" s="213"/>
      <c r="B44" s="213"/>
      <c r="C44" s="213"/>
      <c r="D44" s="213"/>
      <c r="E44" s="213"/>
      <c r="F44" s="213"/>
      <c r="G44" s="213"/>
      <c r="H44" s="213"/>
      <c r="I44" s="213"/>
      <c r="J44" s="213"/>
      <c r="K44" s="213"/>
      <c r="L44" s="213"/>
      <c r="M44" s="213"/>
      <c r="N44" s="213"/>
      <c r="O44" s="213"/>
      <c r="P44" s="213"/>
      <c r="Q44" s="213"/>
      <c r="R44" s="213"/>
    </row>
    <row r="45" spans="1:23" x14ac:dyDescent="0.25">
      <c r="A45" s="213"/>
      <c r="B45" s="213"/>
      <c r="C45" s="213"/>
      <c r="D45" s="213"/>
      <c r="E45" s="213"/>
      <c r="F45" s="213"/>
      <c r="G45" s="213"/>
      <c r="H45" s="213"/>
      <c r="I45" s="213"/>
      <c r="J45" s="213"/>
      <c r="K45" s="213"/>
      <c r="L45" s="213"/>
      <c r="M45" s="213"/>
      <c r="N45" s="213"/>
      <c r="O45" s="213"/>
      <c r="P45" s="213"/>
      <c r="Q45" s="213"/>
      <c r="R45" s="213"/>
    </row>
    <row r="46" spans="1:23" x14ac:dyDescent="0.25">
      <c r="A46" s="213"/>
      <c r="B46" s="213"/>
      <c r="C46" s="213"/>
      <c r="D46" s="213"/>
      <c r="E46" s="213"/>
      <c r="F46" s="213"/>
      <c r="G46" s="213"/>
      <c r="H46" s="213"/>
      <c r="I46" s="213"/>
      <c r="J46" s="213"/>
      <c r="K46" s="213"/>
      <c r="L46" s="213"/>
      <c r="M46" s="213"/>
      <c r="N46" s="213"/>
      <c r="O46" s="213"/>
      <c r="P46" s="213"/>
      <c r="Q46" s="213"/>
      <c r="R46" s="213"/>
    </row>
    <row r="47" spans="1:23" x14ac:dyDescent="0.25">
      <c r="A47" s="213"/>
      <c r="B47" s="213"/>
      <c r="C47" s="213"/>
      <c r="D47" s="213"/>
      <c r="E47" s="213"/>
      <c r="F47" s="213"/>
      <c r="G47" s="213"/>
      <c r="H47" s="213"/>
      <c r="I47" s="213"/>
      <c r="J47" s="213"/>
      <c r="K47" s="213"/>
      <c r="L47" s="213"/>
      <c r="M47" s="213"/>
      <c r="N47" s="213"/>
      <c r="O47" s="213"/>
      <c r="P47" s="213"/>
      <c r="Q47" s="213"/>
      <c r="R47" s="213"/>
    </row>
    <row r="48" spans="1:23" x14ac:dyDescent="0.25">
      <c r="A48" s="213"/>
      <c r="B48" s="213"/>
      <c r="C48" s="213"/>
      <c r="D48" s="213"/>
      <c r="E48" s="213"/>
      <c r="F48" s="213"/>
      <c r="G48" s="213"/>
      <c r="H48" s="213"/>
      <c r="I48" s="213"/>
      <c r="J48" s="213"/>
      <c r="K48" s="213"/>
      <c r="L48" s="213"/>
      <c r="M48" s="213"/>
      <c r="N48" s="213"/>
      <c r="O48" s="213"/>
      <c r="P48" s="213"/>
      <c r="Q48" s="213"/>
      <c r="R48" s="213"/>
    </row>
    <row r="49" spans="1:18" x14ac:dyDescent="0.25">
      <c r="A49" s="213"/>
      <c r="B49" s="213"/>
      <c r="C49" s="213"/>
      <c r="D49" s="213"/>
      <c r="E49" s="213"/>
      <c r="F49" s="213"/>
      <c r="G49" s="213"/>
      <c r="H49" s="213"/>
      <c r="I49" s="213"/>
      <c r="J49" s="213"/>
      <c r="K49" s="213"/>
      <c r="L49" s="213"/>
      <c r="M49" s="213"/>
      <c r="N49" s="213"/>
      <c r="O49" s="213"/>
      <c r="P49" s="213"/>
      <c r="Q49" s="213"/>
      <c r="R49" s="213"/>
    </row>
    <row r="50" spans="1:18" x14ac:dyDescent="0.25">
      <c r="A50" s="213"/>
      <c r="B50" s="213"/>
      <c r="C50" s="213"/>
      <c r="D50" s="213"/>
      <c r="E50" s="213"/>
      <c r="F50" s="213"/>
      <c r="G50" s="213"/>
      <c r="H50" s="213"/>
      <c r="I50" s="213"/>
      <c r="J50" s="213"/>
      <c r="K50" s="213"/>
      <c r="L50" s="213"/>
      <c r="M50" s="213"/>
      <c r="N50" s="213"/>
      <c r="O50" s="213"/>
      <c r="P50" s="213"/>
      <c r="Q50" s="213"/>
      <c r="R50" s="213"/>
    </row>
    <row r="51" spans="1:18" x14ac:dyDescent="0.25">
      <c r="A51" s="213"/>
      <c r="B51" s="213"/>
      <c r="C51" s="213"/>
      <c r="D51" s="213"/>
      <c r="E51" s="213"/>
      <c r="F51" s="213"/>
      <c r="G51" s="213"/>
      <c r="H51" s="213"/>
      <c r="I51" s="213"/>
      <c r="J51" s="213"/>
      <c r="K51" s="213"/>
      <c r="L51" s="213"/>
      <c r="M51" s="213"/>
      <c r="N51" s="213"/>
      <c r="O51" s="213"/>
      <c r="P51" s="213"/>
      <c r="Q51" s="213"/>
      <c r="R51" s="213"/>
    </row>
    <row r="52" spans="1:18" x14ac:dyDescent="0.25">
      <c r="A52" s="213"/>
      <c r="B52" s="213"/>
      <c r="C52" s="213"/>
      <c r="D52" s="213"/>
      <c r="E52" s="213"/>
      <c r="F52" s="213"/>
      <c r="G52" s="213"/>
      <c r="H52" s="213"/>
      <c r="I52" s="213"/>
      <c r="J52" s="213"/>
      <c r="K52" s="213"/>
      <c r="L52" s="213"/>
      <c r="M52" s="213"/>
      <c r="N52" s="213"/>
      <c r="O52" s="213"/>
      <c r="P52" s="213"/>
      <c r="Q52" s="213"/>
      <c r="R52" s="213"/>
    </row>
    <row r="53" spans="1:18" x14ac:dyDescent="0.25">
      <c r="A53" s="213"/>
      <c r="B53" s="213"/>
      <c r="C53" s="213"/>
      <c r="D53" s="213"/>
      <c r="E53" s="213"/>
      <c r="F53" s="213"/>
      <c r="G53" s="213"/>
      <c r="H53" s="213"/>
      <c r="I53" s="213"/>
      <c r="J53" s="213"/>
      <c r="K53" s="213"/>
      <c r="L53" s="213"/>
      <c r="M53" s="213"/>
      <c r="N53" s="213"/>
      <c r="O53" s="213"/>
      <c r="P53" s="213"/>
      <c r="Q53" s="213"/>
      <c r="R53" s="213"/>
    </row>
    <row r="54" spans="1:18" x14ac:dyDescent="0.25">
      <c r="A54" s="213"/>
      <c r="B54" s="213"/>
      <c r="C54" s="213"/>
      <c r="D54" s="213"/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13"/>
      <c r="P54" s="213"/>
      <c r="Q54" s="213"/>
      <c r="R54" s="213"/>
    </row>
    <row r="55" spans="1:18" x14ac:dyDescent="0.25">
      <c r="A55" s="213"/>
      <c r="B55" s="213"/>
      <c r="C55" s="213"/>
      <c r="D55" s="213"/>
      <c r="E55" s="213"/>
      <c r="F55" s="213"/>
      <c r="G55" s="213"/>
      <c r="H55" s="213"/>
      <c r="I55" s="213"/>
      <c r="J55" s="213"/>
      <c r="K55" s="213"/>
      <c r="L55" s="213"/>
      <c r="M55" s="213"/>
      <c r="N55" s="213"/>
      <c r="O55" s="213"/>
      <c r="P55" s="213"/>
      <c r="Q55" s="213"/>
      <c r="R55" s="213"/>
    </row>
    <row r="56" spans="1:18" x14ac:dyDescent="0.25">
      <c r="A56" s="213"/>
      <c r="B56" s="213"/>
      <c r="C56" s="213"/>
      <c r="D56" s="213"/>
      <c r="E56" s="213"/>
      <c r="F56" s="213"/>
      <c r="G56" s="213"/>
      <c r="H56" s="213"/>
      <c r="I56" s="213"/>
      <c r="J56" s="213"/>
      <c r="K56" s="213"/>
      <c r="L56" s="213"/>
      <c r="M56" s="213"/>
      <c r="N56" s="213"/>
      <c r="O56" s="213"/>
      <c r="P56" s="213"/>
      <c r="Q56" s="213"/>
      <c r="R56" s="213"/>
    </row>
    <row r="57" spans="1:18" x14ac:dyDescent="0.25">
      <c r="A57" s="213"/>
      <c r="B57" s="213"/>
      <c r="C57" s="213"/>
      <c r="D57" s="213"/>
      <c r="E57" s="213"/>
      <c r="F57" s="213"/>
      <c r="G57" s="213"/>
      <c r="H57" s="213"/>
      <c r="I57" s="213"/>
      <c r="J57" s="213"/>
      <c r="K57" s="213"/>
      <c r="L57" s="213"/>
      <c r="M57" s="213"/>
      <c r="N57" s="213"/>
      <c r="O57" s="213"/>
      <c r="P57" s="213"/>
      <c r="Q57" s="213"/>
      <c r="R57" s="213"/>
    </row>
    <row r="58" spans="1:18" x14ac:dyDescent="0.25">
      <c r="A58" s="213"/>
      <c r="B58" s="213"/>
      <c r="C58" s="213"/>
      <c r="D58" s="213"/>
      <c r="E58" s="213"/>
      <c r="F58" s="213"/>
      <c r="G58" s="213"/>
      <c r="H58" s="213"/>
      <c r="I58" s="213"/>
      <c r="J58" s="213"/>
      <c r="K58" s="213"/>
      <c r="L58" s="213"/>
      <c r="M58" s="213"/>
      <c r="N58" s="213"/>
      <c r="O58" s="213"/>
      <c r="P58" s="213"/>
      <c r="Q58" s="213"/>
      <c r="R58" s="213"/>
    </row>
    <row r="59" spans="1:18" x14ac:dyDescent="0.25">
      <c r="A59" s="213"/>
      <c r="B59" s="213"/>
      <c r="C59" s="213"/>
      <c r="D59" s="213"/>
      <c r="E59" s="213"/>
      <c r="F59" s="213"/>
      <c r="G59" s="213"/>
      <c r="H59" s="213"/>
      <c r="I59" s="213"/>
      <c r="J59" s="213"/>
      <c r="K59" s="213"/>
      <c r="L59" s="213"/>
      <c r="M59" s="213"/>
      <c r="N59" s="213"/>
      <c r="O59" s="213"/>
      <c r="P59" s="213"/>
      <c r="Q59" s="213"/>
      <c r="R59" s="213"/>
    </row>
    <row r="60" spans="1:18" x14ac:dyDescent="0.25">
      <c r="A60" s="213"/>
      <c r="B60" s="213"/>
      <c r="C60" s="213"/>
      <c r="D60" s="213"/>
      <c r="E60" s="213"/>
      <c r="F60" s="213"/>
      <c r="G60" s="213"/>
      <c r="H60" s="213"/>
      <c r="I60" s="213"/>
      <c r="J60" s="213"/>
      <c r="K60" s="213"/>
      <c r="L60" s="213"/>
      <c r="M60" s="213"/>
      <c r="N60" s="213"/>
      <c r="O60" s="213"/>
      <c r="P60" s="213"/>
      <c r="Q60" s="213"/>
      <c r="R60" s="213"/>
    </row>
    <row r="61" spans="1:18" x14ac:dyDescent="0.25">
      <c r="A61" s="213"/>
      <c r="B61" s="213"/>
      <c r="C61" s="213"/>
      <c r="D61" s="213"/>
      <c r="E61" s="213"/>
      <c r="F61" s="213"/>
      <c r="G61" s="213"/>
      <c r="H61" s="213"/>
      <c r="I61" s="213"/>
      <c r="J61" s="213"/>
      <c r="K61" s="213"/>
      <c r="L61" s="213"/>
      <c r="M61" s="213"/>
      <c r="N61" s="213"/>
      <c r="O61" s="213"/>
      <c r="P61" s="213"/>
      <c r="Q61" s="213"/>
      <c r="R61" s="213"/>
    </row>
    <row r="62" spans="1:18" x14ac:dyDescent="0.25">
      <c r="A62" s="213"/>
      <c r="B62" s="213"/>
      <c r="C62" s="213"/>
      <c r="D62" s="213"/>
      <c r="E62" s="213"/>
      <c r="F62" s="213"/>
      <c r="G62" s="213"/>
      <c r="H62" s="213"/>
      <c r="I62" s="213"/>
      <c r="J62" s="213"/>
      <c r="K62" s="213"/>
      <c r="L62" s="213"/>
      <c r="M62" s="213"/>
      <c r="N62" s="213"/>
      <c r="O62" s="213"/>
      <c r="P62" s="213"/>
      <c r="Q62" s="213"/>
      <c r="R62" s="213"/>
    </row>
    <row r="63" spans="1:18" x14ac:dyDescent="0.25">
      <c r="A63" s="213"/>
      <c r="B63" s="213"/>
      <c r="C63" s="213"/>
      <c r="D63" s="213"/>
      <c r="E63" s="213"/>
      <c r="F63" s="213"/>
      <c r="G63" s="213"/>
      <c r="H63" s="213"/>
      <c r="I63" s="213"/>
      <c r="J63" s="213"/>
      <c r="K63" s="213"/>
      <c r="L63" s="213"/>
      <c r="M63" s="213"/>
      <c r="N63" s="213"/>
      <c r="O63" s="213"/>
      <c r="P63" s="213"/>
      <c r="Q63" s="213"/>
      <c r="R63" s="213"/>
    </row>
    <row r="64" spans="1:18" x14ac:dyDescent="0.25">
      <c r="A64" s="213"/>
      <c r="B64" s="213"/>
      <c r="C64" s="213"/>
      <c r="D64" s="213"/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3"/>
      <c r="P64" s="213"/>
      <c r="Q64" s="213"/>
      <c r="R64" s="213"/>
    </row>
    <row r="65" spans="1:18" x14ac:dyDescent="0.25">
      <c r="A65" s="213"/>
      <c r="B65" s="213"/>
      <c r="C65" s="213"/>
      <c r="D65" s="213"/>
      <c r="E65" s="213"/>
      <c r="F65" s="213"/>
      <c r="G65" s="213"/>
      <c r="H65" s="213"/>
      <c r="I65" s="213"/>
      <c r="J65" s="213"/>
      <c r="K65" s="213"/>
      <c r="L65" s="213"/>
      <c r="M65" s="213"/>
      <c r="N65" s="213"/>
      <c r="O65" s="213"/>
      <c r="P65" s="213"/>
      <c r="Q65" s="213"/>
      <c r="R65" s="213"/>
    </row>
    <row r="66" spans="1:18" x14ac:dyDescent="0.25">
      <c r="A66" s="213"/>
      <c r="B66" s="213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213"/>
      <c r="R66" s="213"/>
    </row>
    <row r="67" spans="1:18" x14ac:dyDescent="0.25">
      <c r="A67" s="213"/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3"/>
      <c r="P67" s="213"/>
      <c r="Q67" s="213"/>
      <c r="R67" s="213"/>
    </row>
    <row r="68" spans="1:18" x14ac:dyDescent="0.25">
      <c r="A68" s="213"/>
      <c r="B68" s="213"/>
      <c r="C68" s="213"/>
      <c r="D68" s="213"/>
      <c r="E68" s="213"/>
      <c r="F68" s="213"/>
      <c r="G68" s="213"/>
      <c r="H68" s="213"/>
      <c r="I68" s="213"/>
      <c r="J68" s="213"/>
      <c r="K68" s="213"/>
      <c r="L68" s="213"/>
      <c r="M68" s="213"/>
      <c r="N68" s="213"/>
      <c r="O68" s="213"/>
      <c r="P68" s="213"/>
      <c r="Q68" s="213"/>
      <c r="R68" s="213"/>
    </row>
    <row r="69" spans="1:18" x14ac:dyDescent="0.25">
      <c r="A69" s="213"/>
      <c r="B69" s="213"/>
      <c r="C69" s="213"/>
      <c r="D69" s="213"/>
      <c r="E69" s="213"/>
      <c r="F69" s="213"/>
      <c r="G69" s="213"/>
      <c r="H69" s="213"/>
      <c r="I69" s="213"/>
      <c r="J69" s="213"/>
      <c r="K69" s="213"/>
      <c r="L69" s="213"/>
      <c r="M69" s="213"/>
      <c r="N69" s="213"/>
      <c r="O69" s="213"/>
      <c r="P69" s="213"/>
      <c r="Q69" s="213"/>
      <c r="R69" s="213"/>
    </row>
    <row r="70" spans="1:18" x14ac:dyDescent="0.25">
      <c r="A70" s="213"/>
      <c r="B70" s="213"/>
      <c r="C70" s="213"/>
      <c r="D70" s="213"/>
      <c r="E70" s="213"/>
      <c r="F70" s="213"/>
      <c r="G70" s="213"/>
      <c r="H70" s="213"/>
      <c r="I70" s="213"/>
      <c r="J70" s="213"/>
      <c r="K70" s="213"/>
      <c r="L70" s="213"/>
      <c r="M70" s="213"/>
      <c r="N70" s="213"/>
      <c r="O70" s="213"/>
      <c r="P70" s="213"/>
      <c r="Q70" s="213"/>
      <c r="R70" s="213"/>
    </row>
    <row r="71" spans="1:18" x14ac:dyDescent="0.25">
      <c r="A71" s="213"/>
      <c r="B71" s="213"/>
      <c r="C71" s="213"/>
      <c r="D71" s="213"/>
      <c r="E71" s="213"/>
      <c r="F71" s="213"/>
      <c r="G71" s="213"/>
      <c r="H71" s="213"/>
      <c r="I71" s="213"/>
      <c r="J71" s="213"/>
      <c r="K71" s="213"/>
      <c r="L71" s="213"/>
      <c r="M71" s="213"/>
      <c r="N71" s="213"/>
      <c r="O71" s="213"/>
      <c r="P71" s="213"/>
      <c r="Q71" s="213"/>
      <c r="R71" s="213"/>
    </row>
    <row r="72" spans="1:18" x14ac:dyDescent="0.25">
      <c r="A72" s="213"/>
      <c r="B72" s="213"/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213"/>
      <c r="O72" s="213"/>
      <c r="P72" s="213"/>
      <c r="Q72" s="213"/>
      <c r="R72" s="213"/>
    </row>
    <row r="73" spans="1:18" x14ac:dyDescent="0.25">
      <c r="A73" s="213"/>
      <c r="B73" s="213"/>
      <c r="C73" s="213"/>
      <c r="D73" s="213"/>
      <c r="E73" s="213"/>
      <c r="F73" s="213"/>
      <c r="G73" s="213"/>
      <c r="H73" s="213"/>
      <c r="I73" s="213"/>
      <c r="J73" s="213"/>
      <c r="K73" s="213"/>
      <c r="L73" s="213"/>
      <c r="M73" s="213"/>
      <c r="N73" s="213"/>
      <c r="O73" s="213"/>
      <c r="P73" s="213"/>
      <c r="Q73" s="213"/>
      <c r="R73" s="213"/>
    </row>
    <row r="74" spans="1:18" x14ac:dyDescent="0.25">
      <c r="A74" s="213"/>
      <c r="B74" s="213"/>
      <c r="C74" s="213"/>
      <c r="D74" s="213"/>
      <c r="E74" s="213"/>
      <c r="F74" s="213"/>
      <c r="G74" s="213"/>
      <c r="H74" s="213"/>
      <c r="I74" s="213"/>
      <c r="J74" s="213"/>
      <c r="K74" s="213"/>
      <c r="L74" s="213"/>
      <c r="M74" s="213"/>
      <c r="N74" s="213"/>
      <c r="O74" s="213"/>
      <c r="P74" s="213"/>
      <c r="Q74" s="213"/>
      <c r="R74" s="213"/>
    </row>
    <row r="75" spans="1:18" x14ac:dyDescent="0.25">
      <c r="A75" s="213"/>
      <c r="B75" s="213"/>
      <c r="C75" s="213"/>
      <c r="D75" s="213"/>
      <c r="E75" s="213"/>
      <c r="F75" s="213"/>
      <c r="G75" s="213"/>
      <c r="H75" s="213"/>
      <c r="I75" s="213"/>
      <c r="J75" s="213"/>
      <c r="K75" s="213"/>
      <c r="L75" s="213"/>
      <c r="M75" s="213"/>
      <c r="N75" s="213"/>
      <c r="O75" s="213"/>
      <c r="P75" s="213"/>
      <c r="Q75" s="213"/>
      <c r="R75" s="213"/>
    </row>
    <row r="76" spans="1:18" x14ac:dyDescent="0.25">
      <c r="A76" s="213"/>
      <c r="B76" s="213"/>
      <c r="C76" s="213"/>
      <c r="D76" s="213"/>
      <c r="E76" s="213"/>
      <c r="F76" s="213"/>
      <c r="G76" s="213"/>
      <c r="H76" s="213"/>
      <c r="I76" s="213"/>
      <c r="J76" s="213"/>
      <c r="K76" s="213"/>
      <c r="L76" s="213"/>
      <c r="M76" s="213"/>
      <c r="N76" s="213"/>
      <c r="O76" s="213"/>
      <c r="P76" s="213"/>
      <c r="Q76" s="213"/>
      <c r="R76" s="213"/>
    </row>
    <row r="77" spans="1:18" x14ac:dyDescent="0.25">
      <c r="A77" s="213"/>
      <c r="B77" s="213"/>
      <c r="C77" s="213"/>
      <c r="D77" s="213"/>
      <c r="E77" s="213"/>
      <c r="F77" s="213"/>
      <c r="G77" s="213"/>
      <c r="H77" s="213"/>
      <c r="I77" s="213"/>
      <c r="J77" s="213"/>
      <c r="K77" s="213"/>
      <c r="L77" s="213"/>
      <c r="M77" s="213"/>
      <c r="N77" s="213"/>
      <c r="O77" s="213"/>
      <c r="P77" s="213"/>
      <c r="Q77" s="213"/>
      <c r="R77" s="213"/>
    </row>
    <row r="78" spans="1:18" x14ac:dyDescent="0.25">
      <c r="A78" s="213"/>
      <c r="B78" s="213"/>
      <c r="C78" s="213"/>
      <c r="D78" s="213"/>
      <c r="E78" s="213"/>
      <c r="F78" s="213"/>
      <c r="G78" s="213"/>
      <c r="H78" s="213"/>
      <c r="I78" s="213"/>
      <c r="J78" s="213"/>
      <c r="K78" s="213"/>
      <c r="L78" s="213"/>
      <c r="M78" s="213"/>
      <c r="N78" s="213"/>
      <c r="O78" s="213"/>
      <c r="P78" s="213"/>
      <c r="Q78" s="213"/>
      <c r="R78" s="213"/>
    </row>
    <row r="79" spans="1:18" x14ac:dyDescent="0.25">
      <c r="A79" s="213"/>
      <c r="B79" s="213"/>
      <c r="C79" s="213"/>
      <c r="D79" s="213"/>
      <c r="E79" s="213"/>
      <c r="F79" s="213"/>
      <c r="G79" s="213"/>
      <c r="H79" s="213"/>
      <c r="I79" s="213"/>
      <c r="J79" s="213"/>
      <c r="K79" s="213"/>
      <c r="L79" s="213"/>
      <c r="M79" s="213"/>
      <c r="N79" s="213"/>
      <c r="O79" s="213"/>
      <c r="P79" s="213"/>
      <c r="Q79" s="213"/>
      <c r="R79" s="213"/>
    </row>
    <row r="80" spans="1:18" x14ac:dyDescent="0.25">
      <c r="A80" s="213"/>
      <c r="B80" s="213"/>
      <c r="C80" s="213"/>
      <c r="D80" s="213"/>
      <c r="E80" s="213"/>
      <c r="F80" s="213"/>
      <c r="G80" s="213"/>
      <c r="H80" s="213"/>
      <c r="I80" s="213"/>
      <c r="J80" s="213"/>
      <c r="K80" s="213"/>
      <c r="L80" s="213"/>
      <c r="M80" s="213"/>
      <c r="N80" s="213"/>
      <c r="O80" s="213"/>
      <c r="P80" s="213"/>
      <c r="Q80" s="213"/>
      <c r="R80" s="213"/>
    </row>
    <row r="81" spans="1:18" x14ac:dyDescent="0.25">
      <c r="A81" s="213"/>
      <c r="B81" s="213"/>
      <c r="C81" s="213"/>
      <c r="D81" s="213"/>
      <c r="E81" s="213"/>
      <c r="F81" s="213"/>
      <c r="G81" s="213"/>
      <c r="H81" s="213"/>
      <c r="I81" s="213"/>
      <c r="J81" s="213"/>
      <c r="K81" s="213"/>
      <c r="L81" s="213"/>
      <c r="M81" s="213"/>
      <c r="N81" s="213"/>
      <c r="O81" s="213"/>
      <c r="P81" s="213"/>
      <c r="Q81" s="213"/>
      <c r="R81" s="213"/>
    </row>
    <row r="82" spans="1:18" x14ac:dyDescent="0.25">
      <c r="A82" s="213"/>
      <c r="B82" s="213"/>
      <c r="C82" s="213"/>
      <c r="D82" s="213"/>
      <c r="E82" s="213"/>
      <c r="F82" s="213"/>
      <c r="G82" s="213"/>
      <c r="H82" s="213"/>
      <c r="I82" s="213"/>
      <c r="J82" s="213"/>
      <c r="K82" s="213"/>
      <c r="L82" s="213"/>
      <c r="M82" s="213"/>
      <c r="N82" s="213"/>
      <c r="O82" s="213"/>
      <c r="P82" s="213"/>
      <c r="Q82" s="213"/>
      <c r="R82" s="213"/>
    </row>
    <row r="83" spans="1:18" x14ac:dyDescent="0.25">
      <c r="A83" s="213"/>
      <c r="B83" s="213"/>
      <c r="C83" s="213"/>
      <c r="D83" s="213"/>
      <c r="E83" s="213"/>
      <c r="F83" s="213"/>
      <c r="G83" s="213"/>
      <c r="H83" s="213"/>
      <c r="I83" s="213"/>
      <c r="J83" s="213"/>
      <c r="K83" s="213"/>
      <c r="L83" s="213"/>
      <c r="M83" s="213"/>
      <c r="N83" s="213"/>
      <c r="O83" s="213"/>
      <c r="P83" s="213"/>
      <c r="Q83" s="213"/>
      <c r="R83" s="213"/>
    </row>
    <row r="84" spans="1:18" x14ac:dyDescent="0.25">
      <c r="A84" s="213"/>
      <c r="B84" s="213"/>
      <c r="C84" s="213"/>
      <c r="D84" s="213"/>
      <c r="E84" s="213"/>
      <c r="F84" s="213"/>
      <c r="G84" s="213"/>
      <c r="H84" s="213"/>
      <c r="I84" s="213"/>
      <c r="J84" s="213"/>
      <c r="K84" s="213"/>
      <c r="L84" s="213"/>
      <c r="M84" s="213"/>
      <c r="N84" s="213"/>
      <c r="O84" s="213"/>
      <c r="P84" s="213"/>
      <c r="Q84" s="213"/>
      <c r="R84" s="213"/>
    </row>
    <row r="85" spans="1:18" x14ac:dyDescent="0.25">
      <c r="A85" s="213"/>
      <c r="B85" s="213"/>
      <c r="C85" s="213"/>
      <c r="D85" s="213"/>
      <c r="E85" s="213"/>
      <c r="F85" s="213"/>
      <c r="G85" s="213"/>
      <c r="H85" s="213"/>
      <c r="I85" s="213"/>
      <c r="J85" s="213"/>
      <c r="K85" s="213"/>
      <c r="L85" s="213"/>
      <c r="M85" s="213"/>
      <c r="N85" s="213"/>
      <c r="O85" s="213"/>
      <c r="P85" s="213"/>
      <c r="Q85" s="213"/>
      <c r="R85" s="213"/>
    </row>
    <row r="86" spans="1:18" x14ac:dyDescent="0.25">
      <c r="A86" s="213"/>
      <c r="B86" s="213"/>
      <c r="C86" s="213"/>
      <c r="D86" s="213"/>
      <c r="E86" s="213"/>
      <c r="F86" s="213"/>
      <c r="G86" s="213"/>
      <c r="H86" s="213"/>
      <c r="I86" s="213"/>
      <c r="J86" s="213"/>
      <c r="K86" s="213"/>
      <c r="L86" s="213"/>
      <c r="M86" s="213"/>
      <c r="N86" s="213"/>
      <c r="O86" s="213"/>
      <c r="P86" s="213"/>
      <c r="Q86" s="213"/>
      <c r="R86" s="213"/>
    </row>
    <row r="87" spans="1:18" x14ac:dyDescent="0.25">
      <c r="A87" s="213"/>
      <c r="B87" s="213"/>
      <c r="C87" s="213"/>
      <c r="D87" s="213"/>
      <c r="E87" s="213"/>
      <c r="F87" s="213"/>
      <c r="G87" s="213"/>
      <c r="H87" s="213"/>
      <c r="I87" s="213"/>
      <c r="J87" s="213"/>
      <c r="K87" s="213"/>
      <c r="L87" s="213"/>
      <c r="M87" s="213"/>
      <c r="N87" s="213"/>
      <c r="O87" s="213"/>
      <c r="P87" s="213"/>
      <c r="Q87" s="213"/>
      <c r="R87" s="213"/>
    </row>
    <row r="88" spans="1:18" x14ac:dyDescent="0.25">
      <c r="A88" s="213"/>
      <c r="B88" s="213"/>
      <c r="C88" s="213"/>
      <c r="D88" s="213"/>
      <c r="E88" s="213"/>
      <c r="F88" s="213"/>
      <c r="G88" s="213"/>
      <c r="H88" s="213"/>
      <c r="I88" s="213"/>
      <c r="J88" s="213"/>
      <c r="K88" s="213"/>
      <c r="L88" s="213"/>
      <c r="M88" s="213"/>
      <c r="N88" s="213"/>
      <c r="O88" s="213"/>
      <c r="P88" s="213"/>
      <c r="Q88" s="213"/>
      <c r="R88" s="213"/>
    </row>
    <row r="89" spans="1:18" x14ac:dyDescent="0.25">
      <c r="A89" s="213"/>
      <c r="B89" s="213"/>
      <c r="C89" s="213"/>
      <c r="D89" s="213"/>
      <c r="E89" s="213"/>
      <c r="F89" s="213"/>
      <c r="G89" s="213"/>
      <c r="H89" s="213"/>
      <c r="I89" s="213"/>
      <c r="J89" s="213"/>
      <c r="K89" s="213"/>
      <c r="L89" s="213"/>
      <c r="M89" s="213"/>
      <c r="N89" s="213"/>
      <c r="O89" s="213"/>
      <c r="P89" s="213"/>
      <c r="Q89" s="213"/>
      <c r="R89" s="213"/>
    </row>
    <row r="90" spans="1:18" x14ac:dyDescent="0.25">
      <c r="A90" s="213"/>
      <c r="B90" s="213"/>
      <c r="C90" s="213"/>
      <c r="D90" s="213"/>
      <c r="E90" s="213"/>
      <c r="F90" s="213"/>
      <c r="G90" s="213"/>
      <c r="H90" s="213"/>
      <c r="I90" s="213"/>
      <c r="J90" s="213"/>
      <c r="K90" s="213"/>
      <c r="L90" s="213"/>
      <c r="M90" s="213"/>
      <c r="N90" s="213"/>
      <c r="O90" s="213"/>
      <c r="P90" s="213"/>
      <c r="Q90" s="213"/>
      <c r="R90" s="213"/>
    </row>
    <row r="91" spans="1:18" x14ac:dyDescent="0.25">
      <c r="A91" s="213"/>
      <c r="B91" s="213"/>
      <c r="C91" s="213"/>
      <c r="D91" s="213"/>
      <c r="E91" s="213"/>
      <c r="F91" s="213"/>
      <c r="G91" s="213"/>
      <c r="H91" s="213"/>
      <c r="I91" s="213"/>
      <c r="J91" s="213"/>
      <c r="K91" s="213"/>
      <c r="L91" s="213"/>
      <c r="M91" s="213"/>
      <c r="N91" s="213"/>
      <c r="O91" s="213"/>
      <c r="P91" s="213"/>
      <c r="Q91" s="213"/>
      <c r="R91" s="213"/>
    </row>
    <row r="92" spans="1:18" x14ac:dyDescent="0.25">
      <c r="A92" s="213"/>
      <c r="B92" s="213"/>
      <c r="C92" s="213"/>
      <c r="D92" s="213"/>
      <c r="E92" s="213"/>
      <c r="F92" s="213"/>
      <c r="G92" s="213"/>
      <c r="H92" s="213"/>
      <c r="I92" s="213"/>
      <c r="J92" s="213"/>
      <c r="K92" s="213"/>
      <c r="L92" s="213"/>
      <c r="M92" s="213"/>
      <c r="N92" s="213"/>
      <c r="O92" s="213"/>
      <c r="P92" s="213"/>
      <c r="Q92" s="213"/>
      <c r="R92" s="213"/>
    </row>
    <row r="93" spans="1:18" x14ac:dyDescent="0.25">
      <c r="A93" s="213"/>
      <c r="B93" s="213"/>
      <c r="C93" s="213"/>
      <c r="D93" s="213"/>
      <c r="E93" s="213"/>
      <c r="F93" s="213"/>
      <c r="G93" s="213"/>
      <c r="H93" s="213"/>
      <c r="I93" s="213"/>
      <c r="J93" s="213"/>
      <c r="K93" s="213"/>
      <c r="L93" s="213"/>
      <c r="M93" s="213"/>
      <c r="N93" s="213"/>
      <c r="O93" s="213"/>
      <c r="P93" s="213"/>
      <c r="Q93" s="213"/>
      <c r="R93" s="213"/>
    </row>
    <row r="94" spans="1:18" x14ac:dyDescent="0.25">
      <c r="A94" s="213"/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3"/>
      <c r="P94" s="213"/>
      <c r="Q94" s="213"/>
      <c r="R94" s="213"/>
    </row>
    <row r="95" spans="1:18" x14ac:dyDescent="0.25">
      <c r="A95" s="213"/>
      <c r="B95" s="213"/>
      <c r="C95" s="213"/>
      <c r="D95" s="213"/>
      <c r="E95" s="213"/>
      <c r="F95" s="213"/>
      <c r="G95" s="213"/>
      <c r="H95" s="213"/>
      <c r="I95" s="213"/>
      <c r="J95" s="213"/>
      <c r="K95" s="213"/>
      <c r="L95" s="213"/>
      <c r="M95" s="213"/>
      <c r="N95" s="213"/>
      <c r="O95" s="213"/>
      <c r="P95" s="213"/>
      <c r="Q95" s="213"/>
      <c r="R95" s="213"/>
    </row>
    <row r="96" spans="1:18" x14ac:dyDescent="0.25">
      <c r="A96" s="213"/>
      <c r="B96" s="213"/>
      <c r="C96" s="213"/>
      <c r="D96" s="213"/>
      <c r="E96" s="213"/>
      <c r="F96" s="213"/>
      <c r="G96" s="213"/>
      <c r="H96" s="213"/>
      <c r="I96" s="213"/>
      <c r="J96" s="213"/>
      <c r="K96" s="213"/>
      <c r="L96" s="213"/>
      <c r="M96" s="213"/>
      <c r="N96" s="213"/>
      <c r="O96" s="213"/>
      <c r="P96" s="213"/>
      <c r="Q96" s="213"/>
      <c r="R96" s="213"/>
    </row>
    <row r="97" spans="1:18" x14ac:dyDescent="0.25">
      <c r="A97" s="213"/>
      <c r="B97" s="213"/>
      <c r="C97" s="213"/>
      <c r="D97" s="213"/>
      <c r="E97" s="213"/>
      <c r="F97" s="213"/>
      <c r="G97" s="213"/>
      <c r="H97" s="213"/>
      <c r="I97" s="213"/>
      <c r="J97" s="213"/>
      <c r="K97" s="213"/>
      <c r="L97" s="213"/>
      <c r="M97" s="213"/>
      <c r="N97" s="213"/>
      <c r="O97" s="213"/>
      <c r="P97" s="213"/>
      <c r="Q97" s="213"/>
      <c r="R97" s="213"/>
    </row>
    <row r="98" spans="1:18" x14ac:dyDescent="0.25">
      <c r="A98" s="213"/>
      <c r="B98" s="213"/>
      <c r="C98" s="213"/>
      <c r="D98" s="213"/>
      <c r="E98" s="213"/>
      <c r="F98" s="213"/>
      <c r="G98" s="213"/>
      <c r="H98" s="213"/>
      <c r="I98" s="213"/>
      <c r="J98" s="213"/>
      <c r="K98" s="213"/>
      <c r="L98" s="213"/>
      <c r="M98" s="213"/>
      <c r="N98" s="213"/>
      <c r="O98" s="213"/>
      <c r="P98" s="213"/>
      <c r="Q98" s="213"/>
      <c r="R98" s="213"/>
    </row>
    <row r="99" spans="1:18" x14ac:dyDescent="0.25">
      <c r="A99" s="213"/>
      <c r="B99" s="213"/>
      <c r="C99" s="213"/>
      <c r="D99" s="213"/>
      <c r="E99" s="213"/>
      <c r="F99" s="213"/>
      <c r="G99" s="213"/>
      <c r="H99" s="213"/>
      <c r="I99" s="213"/>
      <c r="J99" s="213"/>
      <c r="K99" s="213"/>
      <c r="L99" s="213"/>
      <c r="M99" s="213"/>
      <c r="N99" s="213"/>
      <c r="O99" s="213"/>
      <c r="P99" s="213"/>
      <c r="Q99" s="213"/>
      <c r="R99" s="213"/>
    </row>
    <row r="100" spans="1:18" x14ac:dyDescent="0.25">
      <c r="A100" s="213"/>
      <c r="B100" s="213"/>
      <c r="C100" s="213"/>
      <c r="D100" s="213"/>
      <c r="E100" s="213"/>
      <c r="F100" s="213"/>
      <c r="G100" s="213"/>
      <c r="H100" s="213"/>
      <c r="I100" s="213"/>
      <c r="J100" s="213"/>
      <c r="K100" s="213"/>
      <c r="L100" s="213"/>
      <c r="M100" s="213"/>
      <c r="N100" s="213"/>
      <c r="O100" s="213"/>
      <c r="P100" s="213"/>
      <c r="Q100" s="213"/>
      <c r="R100" s="213"/>
    </row>
    <row r="101" spans="1:18" x14ac:dyDescent="0.25">
      <c r="A101" s="213"/>
      <c r="B101" s="213"/>
      <c r="C101" s="213"/>
      <c r="D101" s="213"/>
      <c r="E101" s="213"/>
      <c r="F101" s="213"/>
      <c r="G101" s="213"/>
      <c r="H101" s="213"/>
      <c r="I101" s="213"/>
      <c r="J101" s="213"/>
      <c r="K101" s="213"/>
      <c r="L101" s="213"/>
      <c r="M101" s="213"/>
      <c r="N101" s="213"/>
      <c r="O101" s="213"/>
      <c r="P101" s="213"/>
      <c r="Q101" s="213"/>
      <c r="R101" s="213"/>
    </row>
    <row r="102" spans="1:18" x14ac:dyDescent="0.25">
      <c r="A102" s="213"/>
      <c r="B102" s="213"/>
      <c r="C102" s="213"/>
      <c r="D102" s="213"/>
      <c r="E102" s="213"/>
      <c r="F102" s="213"/>
      <c r="G102" s="213"/>
      <c r="H102" s="213"/>
      <c r="I102" s="213"/>
      <c r="J102" s="213"/>
      <c r="K102" s="213"/>
      <c r="L102" s="213"/>
      <c r="M102" s="213"/>
      <c r="N102" s="213"/>
      <c r="O102" s="213"/>
      <c r="P102" s="213"/>
      <c r="Q102" s="213"/>
      <c r="R102" s="213"/>
    </row>
    <row r="103" spans="1:18" x14ac:dyDescent="0.25">
      <c r="A103" s="213"/>
      <c r="B103" s="213"/>
      <c r="C103" s="213"/>
      <c r="D103" s="213"/>
      <c r="E103" s="213"/>
      <c r="F103" s="213"/>
      <c r="G103" s="213"/>
      <c r="H103" s="213"/>
      <c r="I103" s="213"/>
      <c r="J103" s="213"/>
      <c r="K103" s="213"/>
      <c r="L103" s="213"/>
      <c r="M103" s="213"/>
      <c r="N103" s="213"/>
      <c r="O103" s="213"/>
      <c r="P103" s="213"/>
      <c r="Q103" s="213"/>
      <c r="R103" s="213"/>
    </row>
    <row r="104" spans="1:18" x14ac:dyDescent="0.25">
      <c r="A104" s="213"/>
      <c r="B104" s="213"/>
      <c r="C104" s="213"/>
      <c r="D104" s="213"/>
      <c r="E104" s="213"/>
      <c r="F104" s="213"/>
      <c r="G104" s="213"/>
      <c r="H104" s="213"/>
      <c r="I104" s="213"/>
      <c r="J104" s="213"/>
      <c r="K104" s="213"/>
      <c r="L104" s="213"/>
      <c r="M104" s="213"/>
      <c r="N104" s="213"/>
      <c r="O104" s="213"/>
      <c r="P104" s="213"/>
      <c r="Q104" s="213"/>
      <c r="R104" s="213"/>
    </row>
    <row r="105" spans="1:18" x14ac:dyDescent="0.25">
      <c r="A105" s="213"/>
      <c r="B105" s="213"/>
      <c r="C105" s="213"/>
      <c r="D105" s="213"/>
      <c r="E105" s="213"/>
      <c r="F105" s="213"/>
      <c r="G105" s="213"/>
      <c r="H105" s="213"/>
      <c r="I105" s="213"/>
      <c r="J105" s="213"/>
      <c r="K105" s="213"/>
      <c r="L105" s="213"/>
      <c r="M105" s="213"/>
      <c r="N105" s="213"/>
      <c r="O105" s="213"/>
      <c r="P105" s="213"/>
      <c r="Q105" s="213"/>
      <c r="R105" s="213"/>
    </row>
    <row r="106" spans="1:18" x14ac:dyDescent="0.25">
      <c r="A106" s="213"/>
      <c r="B106" s="213"/>
      <c r="C106" s="213"/>
      <c r="D106" s="213"/>
      <c r="E106" s="213"/>
      <c r="F106" s="213"/>
      <c r="G106" s="213"/>
      <c r="H106" s="213"/>
      <c r="I106" s="213"/>
      <c r="J106" s="213"/>
      <c r="K106" s="213"/>
      <c r="L106" s="213"/>
      <c r="M106" s="213"/>
      <c r="N106" s="213"/>
      <c r="O106" s="213"/>
      <c r="P106" s="213"/>
      <c r="Q106" s="213"/>
      <c r="R106" s="213"/>
    </row>
    <row r="107" spans="1:18" x14ac:dyDescent="0.25">
      <c r="A107" s="213"/>
      <c r="B107" s="213"/>
      <c r="C107" s="213"/>
      <c r="D107" s="213"/>
      <c r="E107" s="213"/>
      <c r="F107" s="213"/>
      <c r="G107" s="213"/>
      <c r="H107" s="213"/>
      <c r="I107" s="213"/>
      <c r="J107" s="213"/>
      <c r="K107" s="213"/>
      <c r="L107" s="213"/>
      <c r="M107" s="213"/>
      <c r="N107" s="213"/>
      <c r="O107" s="213"/>
      <c r="P107" s="213"/>
      <c r="Q107" s="213"/>
      <c r="R107" s="213"/>
    </row>
    <row r="108" spans="1:18" x14ac:dyDescent="0.25">
      <c r="A108" s="213"/>
      <c r="B108" s="213"/>
      <c r="C108" s="213"/>
      <c r="D108" s="213"/>
      <c r="E108" s="213"/>
      <c r="F108" s="213"/>
      <c r="G108" s="213"/>
      <c r="H108" s="213"/>
      <c r="I108" s="213"/>
      <c r="J108" s="213"/>
      <c r="K108" s="213"/>
      <c r="L108" s="213"/>
      <c r="M108" s="213"/>
      <c r="N108" s="213"/>
      <c r="O108" s="213"/>
      <c r="P108" s="213"/>
      <c r="Q108" s="213"/>
      <c r="R108" s="213"/>
    </row>
    <row r="109" spans="1:18" x14ac:dyDescent="0.25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213"/>
      <c r="L109" s="213"/>
      <c r="M109" s="213"/>
      <c r="N109" s="213"/>
      <c r="O109" s="213"/>
      <c r="P109" s="213"/>
      <c r="Q109" s="213"/>
      <c r="R109" s="213"/>
    </row>
    <row r="110" spans="1:18" x14ac:dyDescent="0.25">
      <c r="A110" s="213"/>
      <c r="B110" s="213"/>
      <c r="C110" s="213"/>
      <c r="D110" s="213"/>
      <c r="E110" s="213"/>
      <c r="F110" s="213"/>
      <c r="G110" s="213"/>
      <c r="H110" s="213"/>
      <c r="I110" s="213"/>
      <c r="J110" s="213"/>
      <c r="K110" s="213"/>
      <c r="L110" s="213"/>
      <c r="M110" s="213"/>
      <c r="N110" s="213"/>
      <c r="O110" s="213"/>
      <c r="P110" s="213"/>
      <c r="Q110" s="213"/>
      <c r="R110" s="213"/>
    </row>
    <row r="111" spans="1:18" x14ac:dyDescent="0.25">
      <c r="A111" s="213"/>
      <c r="B111" s="213"/>
      <c r="C111" s="213"/>
      <c r="D111" s="213"/>
      <c r="E111" s="213"/>
      <c r="F111" s="213"/>
      <c r="G111" s="213"/>
      <c r="H111" s="213"/>
      <c r="I111" s="213"/>
      <c r="J111" s="213"/>
      <c r="K111" s="213"/>
      <c r="L111" s="213"/>
      <c r="M111" s="213"/>
      <c r="N111" s="213"/>
      <c r="O111" s="213"/>
      <c r="P111" s="213"/>
      <c r="Q111" s="213"/>
      <c r="R111" s="213"/>
    </row>
    <row r="112" spans="1:18" x14ac:dyDescent="0.25">
      <c r="A112" s="213"/>
      <c r="B112" s="213"/>
      <c r="C112" s="213"/>
      <c r="D112" s="213"/>
      <c r="E112" s="213"/>
      <c r="F112" s="213"/>
      <c r="G112" s="213"/>
      <c r="H112" s="213"/>
      <c r="I112" s="213"/>
      <c r="J112" s="213"/>
      <c r="K112" s="213"/>
      <c r="L112" s="213"/>
      <c r="M112" s="213"/>
      <c r="N112" s="213"/>
      <c r="O112" s="213"/>
      <c r="P112" s="213"/>
      <c r="Q112" s="213"/>
      <c r="R112" s="213"/>
    </row>
    <row r="113" spans="1:18" x14ac:dyDescent="0.25">
      <c r="A113" s="213"/>
      <c r="B113" s="213"/>
      <c r="C113" s="213"/>
      <c r="D113" s="213"/>
      <c r="E113" s="213"/>
      <c r="F113" s="213"/>
      <c r="G113" s="213"/>
      <c r="H113" s="213"/>
      <c r="I113" s="213"/>
      <c r="J113" s="213"/>
      <c r="K113" s="213"/>
      <c r="L113" s="213"/>
      <c r="M113" s="213"/>
      <c r="N113" s="213"/>
      <c r="O113" s="213"/>
      <c r="P113" s="213"/>
      <c r="Q113" s="213"/>
      <c r="R113" s="213"/>
    </row>
    <row r="114" spans="1:18" x14ac:dyDescent="0.25">
      <c r="A114" s="213"/>
      <c r="B114" s="213"/>
      <c r="C114" s="213"/>
      <c r="D114" s="213"/>
      <c r="E114" s="213"/>
      <c r="F114" s="213"/>
      <c r="G114" s="213"/>
      <c r="H114" s="213"/>
      <c r="I114" s="213"/>
      <c r="J114" s="213"/>
      <c r="K114" s="213"/>
      <c r="L114" s="213"/>
      <c r="M114" s="213"/>
      <c r="N114" s="213"/>
      <c r="O114" s="213"/>
      <c r="P114" s="213"/>
      <c r="Q114" s="213"/>
      <c r="R114" s="213"/>
    </row>
    <row r="115" spans="1:18" x14ac:dyDescent="0.25">
      <c r="A115" s="213"/>
      <c r="B115" s="213"/>
      <c r="C115" s="213"/>
      <c r="D115" s="213"/>
      <c r="E115" s="213"/>
      <c r="F115" s="213"/>
      <c r="G115" s="213"/>
      <c r="H115" s="213"/>
      <c r="I115" s="213"/>
      <c r="J115" s="213"/>
      <c r="K115" s="213"/>
      <c r="L115" s="213"/>
      <c r="M115" s="213"/>
      <c r="N115" s="213"/>
      <c r="O115" s="213"/>
      <c r="P115" s="213"/>
      <c r="Q115" s="213"/>
      <c r="R115" s="213"/>
    </row>
    <row r="116" spans="1:18" x14ac:dyDescent="0.25">
      <c r="A116" s="213"/>
      <c r="B116" s="213"/>
      <c r="C116" s="213"/>
      <c r="D116" s="213"/>
      <c r="E116" s="213"/>
      <c r="F116" s="213"/>
      <c r="G116" s="213"/>
      <c r="H116" s="213"/>
      <c r="I116" s="213"/>
      <c r="J116" s="213"/>
      <c r="K116" s="213"/>
      <c r="L116" s="213"/>
      <c r="M116" s="213"/>
      <c r="N116" s="213"/>
      <c r="O116" s="213"/>
      <c r="P116" s="213"/>
      <c r="Q116" s="213"/>
      <c r="R116" s="213"/>
    </row>
    <row r="117" spans="1:18" x14ac:dyDescent="0.25">
      <c r="A117" s="213"/>
      <c r="B117" s="213"/>
      <c r="C117" s="213"/>
      <c r="D117" s="213"/>
      <c r="E117" s="213"/>
      <c r="F117" s="213"/>
      <c r="G117" s="213"/>
      <c r="H117" s="213"/>
      <c r="I117" s="213"/>
      <c r="J117" s="213"/>
      <c r="K117" s="213"/>
      <c r="L117" s="213"/>
      <c r="M117" s="213"/>
      <c r="N117" s="213"/>
      <c r="O117" s="213"/>
      <c r="P117" s="213"/>
      <c r="Q117" s="213"/>
      <c r="R117" s="213"/>
    </row>
    <row r="118" spans="1:18" x14ac:dyDescent="0.25">
      <c r="A118" s="213"/>
      <c r="B118" s="213"/>
      <c r="C118" s="213"/>
      <c r="D118" s="213"/>
      <c r="E118" s="213"/>
      <c r="F118" s="213"/>
      <c r="G118" s="213"/>
      <c r="H118" s="213"/>
      <c r="I118" s="213"/>
      <c r="J118" s="213"/>
      <c r="K118" s="213"/>
      <c r="L118" s="213"/>
      <c r="M118" s="213"/>
      <c r="N118" s="213"/>
      <c r="O118" s="213"/>
      <c r="P118" s="213"/>
      <c r="Q118" s="213"/>
      <c r="R118" s="213"/>
    </row>
    <row r="119" spans="1:18" x14ac:dyDescent="0.25">
      <c r="A119" s="213"/>
      <c r="B119" s="213"/>
      <c r="C119" s="213"/>
      <c r="D119" s="213"/>
      <c r="E119" s="213"/>
      <c r="F119" s="213"/>
      <c r="G119" s="213"/>
      <c r="H119" s="213"/>
      <c r="I119" s="213"/>
      <c r="J119" s="213"/>
      <c r="K119" s="213"/>
      <c r="L119" s="213"/>
      <c r="M119" s="213"/>
      <c r="N119" s="213"/>
      <c r="O119" s="213"/>
      <c r="P119" s="213"/>
      <c r="Q119" s="213"/>
      <c r="R119" s="213"/>
    </row>
    <row r="120" spans="1:18" x14ac:dyDescent="0.25">
      <c r="A120" s="213"/>
      <c r="B120" s="213"/>
      <c r="C120" s="213"/>
      <c r="D120" s="213"/>
      <c r="E120" s="213"/>
      <c r="F120" s="213"/>
      <c r="G120" s="213"/>
      <c r="H120" s="213"/>
      <c r="I120" s="213"/>
      <c r="J120" s="213"/>
      <c r="K120" s="213"/>
      <c r="L120" s="213"/>
      <c r="M120" s="213"/>
      <c r="N120" s="213"/>
      <c r="O120" s="213"/>
      <c r="P120" s="213"/>
      <c r="Q120" s="213"/>
      <c r="R120" s="213"/>
    </row>
    <row r="121" spans="1:18" x14ac:dyDescent="0.25">
      <c r="A121" s="213"/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3"/>
      <c r="P121" s="213"/>
      <c r="Q121" s="213"/>
      <c r="R121" s="213"/>
    </row>
    <row r="122" spans="1:18" x14ac:dyDescent="0.25">
      <c r="A122" s="213"/>
      <c r="B122" s="213"/>
      <c r="C122" s="213"/>
      <c r="D122" s="213"/>
      <c r="E122" s="213"/>
      <c r="F122" s="213"/>
      <c r="G122" s="213"/>
      <c r="H122" s="213"/>
      <c r="I122" s="213"/>
      <c r="J122" s="213"/>
      <c r="K122" s="213"/>
      <c r="L122" s="213"/>
      <c r="M122" s="213"/>
      <c r="N122" s="213"/>
      <c r="O122" s="213"/>
      <c r="P122" s="213"/>
      <c r="Q122" s="213"/>
      <c r="R122" s="213"/>
    </row>
    <row r="123" spans="1:18" x14ac:dyDescent="0.25">
      <c r="A123" s="213"/>
      <c r="B123" s="213"/>
      <c r="C123" s="213"/>
      <c r="D123" s="213"/>
      <c r="E123" s="213"/>
      <c r="F123" s="213"/>
      <c r="G123" s="213"/>
      <c r="H123" s="213"/>
      <c r="I123" s="213"/>
      <c r="J123" s="213"/>
      <c r="K123" s="213"/>
      <c r="L123" s="213"/>
      <c r="M123" s="213"/>
      <c r="N123" s="213"/>
      <c r="O123" s="213"/>
      <c r="P123" s="213"/>
      <c r="Q123" s="213"/>
      <c r="R123" s="213"/>
    </row>
    <row r="124" spans="1:18" x14ac:dyDescent="0.25">
      <c r="A124" s="213"/>
      <c r="B124" s="213"/>
      <c r="C124" s="213"/>
      <c r="D124" s="213"/>
      <c r="E124" s="213"/>
      <c r="F124" s="213"/>
      <c r="G124" s="213"/>
      <c r="H124" s="213"/>
      <c r="I124" s="213"/>
      <c r="J124" s="213"/>
      <c r="K124" s="213"/>
      <c r="L124" s="213"/>
      <c r="M124" s="213"/>
      <c r="N124" s="213"/>
      <c r="O124" s="213"/>
      <c r="P124" s="213"/>
      <c r="Q124" s="213"/>
      <c r="R124" s="213"/>
    </row>
    <row r="125" spans="1:18" x14ac:dyDescent="0.25">
      <c r="A125" s="213"/>
      <c r="B125" s="213"/>
      <c r="C125" s="213"/>
      <c r="D125" s="213"/>
      <c r="E125" s="213"/>
      <c r="F125" s="213"/>
      <c r="G125" s="213"/>
      <c r="H125" s="213"/>
      <c r="I125" s="213"/>
      <c r="J125" s="213"/>
      <c r="K125" s="213"/>
      <c r="L125" s="213"/>
      <c r="M125" s="213"/>
      <c r="N125" s="213"/>
      <c r="O125" s="213"/>
      <c r="P125" s="213"/>
      <c r="Q125" s="213"/>
      <c r="R125" s="213"/>
    </row>
    <row r="126" spans="1:18" x14ac:dyDescent="0.25">
      <c r="A126" s="213"/>
      <c r="B126" s="213"/>
      <c r="C126" s="213"/>
      <c r="D126" s="213"/>
      <c r="E126" s="213"/>
      <c r="F126" s="213"/>
      <c r="G126" s="213"/>
      <c r="H126" s="213"/>
      <c r="I126" s="213"/>
      <c r="J126" s="213"/>
      <c r="K126" s="213"/>
      <c r="L126" s="213"/>
      <c r="M126" s="213"/>
      <c r="N126" s="213"/>
      <c r="O126" s="213"/>
      <c r="P126" s="213"/>
      <c r="Q126" s="213"/>
      <c r="R126" s="213"/>
    </row>
    <row r="127" spans="1:18" x14ac:dyDescent="0.25">
      <c r="A127" s="213"/>
      <c r="B127" s="213"/>
      <c r="C127" s="213"/>
      <c r="D127" s="213"/>
      <c r="E127" s="213"/>
      <c r="F127" s="213"/>
      <c r="G127" s="213"/>
      <c r="H127" s="213"/>
      <c r="I127" s="213"/>
      <c r="J127" s="213"/>
      <c r="K127" s="213"/>
      <c r="L127" s="213"/>
      <c r="M127" s="213"/>
      <c r="N127" s="213"/>
      <c r="O127" s="213"/>
      <c r="P127" s="213"/>
      <c r="Q127" s="213"/>
      <c r="R127" s="213"/>
    </row>
    <row r="128" spans="1:18" x14ac:dyDescent="0.25">
      <c r="A128" s="213"/>
      <c r="B128" s="213"/>
      <c r="C128" s="213"/>
      <c r="D128" s="213"/>
      <c r="E128" s="213"/>
      <c r="F128" s="213"/>
      <c r="G128" s="213"/>
      <c r="H128" s="213"/>
      <c r="I128" s="213"/>
      <c r="J128" s="213"/>
      <c r="K128" s="213"/>
      <c r="L128" s="213"/>
      <c r="M128" s="213"/>
      <c r="N128" s="213"/>
      <c r="O128" s="213"/>
      <c r="P128" s="213"/>
      <c r="Q128" s="213"/>
      <c r="R128" s="213"/>
    </row>
    <row r="129" spans="1:18" x14ac:dyDescent="0.25">
      <c r="A129" s="213"/>
      <c r="B129" s="213"/>
      <c r="C129" s="213"/>
      <c r="D129" s="213"/>
      <c r="E129" s="213"/>
      <c r="F129" s="213"/>
      <c r="G129" s="213"/>
      <c r="H129" s="213"/>
      <c r="I129" s="213"/>
      <c r="J129" s="213"/>
      <c r="K129" s="213"/>
      <c r="L129" s="213"/>
      <c r="M129" s="213"/>
      <c r="N129" s="213"/>
      <c r="O129" s="213"/>
      <c r="P129" s="213"/>
      <c r="Q129" s="213"/>
      <c r="R129" s="213"/>
    </row>
    <row r="130" spans="1:18" x14ac:dyDescent="0.25">
      <c r="A130" s="213"/>
      <c r="B130" s="213"/>
      <c r="C130" s="213"/>
      <c r="D130" s="213"/>
      <c r="E130" s="213"/>
      <c r="F130" s="213"/>
      <c r="G130" s="213"/>
      <c r="H130" s="213"/>
      <c r="I130" s="213"/>
      <c r="J130" s="213"/>
      <c r="K130" s="213"/>
      <c r="L130" s="213"/>
      <c r="M130" s="213"/>
      <c r="N130" s="213"/>
      <c r="O130" s="213"/>
      <c r="P130" s="213"/>
      <c r="Q130" s="213"/>
      <c r="R130" s="213"/>
    </row>
    <row r="131" spans="1:18" x14ac:dyDescent="0.25">
      <c r="A131" s="213"/>
      <c r="B131" s="213"/>
      <c r="C131" s="213"/>
      <c r="D131" s="213"/>
      <c r="E131" s="213"/>
      <c r="F131" s="213"/>
      <c r="G131" s="213"/>
      <c r="H131" s="213"/>
      <c r="I131" s="213"/>
      <c r="J131" s="213"/>
      <c r="K131" s="213"/>
      <c r="L131" s="213"/>
      <c r="M131" s="213"/>
      <c r="N131" s="213"/>
      <c r="O131" s="213"/>
      <c r="P131" s="213"/>
      <c r="Q131" s="213"/>
      <c r="R131" s="213"/>
    </row>
    <row r="132" spans="1:18" x14ac:dyDescent="0.25">
      <c r="A132" s="213"/>
      <c r="B132" s="213"/>
      <c r="C132" s="213"/>
      <c r="D132" s="213"/>
      <c r="E132" s="213"/>
      <c r="F132" s="213"/>
      <c r="G132" s="213"/>
      <c r="H132" s="213"/>
      <c r="I132" s="213"/>
      <c r="J132" s="213"/>
      <c r="K132" s="213"/>
      <c r="L132" s="213"/>
      <c r="M132" s="213"/>
      <c r="N132" s="213"/>
      <c r="O132" s="213"/>
      <c r="P132" s="213"/>
      <c r="Q132" s="213"/>
      <c r="R132" s="213"/>
    </row>
    <row r="133" spans="1:18" x14ac:dyDescent="0.25">
      <c r="A133" s="213"/>
      <c r="B133" s="213"/>
      <c r="C133" s="213"/>
      <c r="D133" s="213"/>
      <c r="E133" s="213"/>
      <c r="F133" s="213"/>
      <c r="G133" s="213"/>
      <c r="H133" s="213"/>
      <c r="I133" s="213"/>
      <c r="J133" s="213"/>
      <c r="K133" s="213"/>
      <c r="L133" s="213"/>
      <c r="M133" s="213"/>
      <c r="N133" s="213"/>
      <c r="O133" s="213"/>
      <c r="P133" s="213"/>
      <c r="Q133" s="213"/>
      <c r="R133" s="213"/>
    </row>
    <row r="134" spans="1:18" x14ac:dyDescent="0.25">
      <c r="A134" s="213"/>
      <c r="B134" s="213"/>
      <c r="C134" s="213"/>
      <c r="D134" s="213"/>
      <c r="E134" s="213"/>
      <c r="F134" s="213"/>
      <c r="G134" s="213"/>
      <c r="H134" s="213"/>
      <c r="I134" s="213"/>
      <c r="J134" s="213"/>
      <c r="K134" s="213"/>
      <c r="L134" s="213"/>
      <c r="M134" s="213"/>
      <c r="N134" s="213"/>
      <c r="O134" s="213"/>
      <c r="P134" s="213"/>
      <c r="Q134" s="213"/>
      <c r="R134" s="213"/>
    </row>
    <row r="135" spans="1:18" x14ac:dyDescent="0.25">
      <c r="A135" s="213"/>
      <c r="B135" s="213"/>
      <c r="C135" s="213"/>
      <c r="D135" s="213"/>
      <c r="E135" s="213"/>
      <c r="F135" s="213"/>
      <c r="G135" s="213"/>
      <c r="H135" s="213"/>
      <c r="I135" s="213"/>
      <c r="J135" s="213"/>
      <c r="K135" s="213"/>
      <c r="L135" s="213"/>
      <c r="M135" s="213"/>
      <c r="N135" s="213"/>
      <c r="O135" s="213"/>
      <c r="P135" s="213"/>
      <c r="Q135" s="213"/>
      <c r="R135" s="213"/>
    </row>
    <row r="136" spans="1:18" x14ac:dyDescent="0.25">
      <c r="A136" s="213"/>
      <c r="B136" s="213"/>
      <c r="C136" s="213"/>
      <c r="D136" s="213"/>
      <c r="E136" s="213"/>
      <c r="F136" s="213"/>
      <c r="G136" s="213"/>
      <c r="H136" s="213"/>
      <c r="I136" s="213"/>
      <c r="J136" s="213"/>
      <c r="K136" s="213"/>
      <c r="L136" s="213"/>
      <c r="M136" s="213"/>
      <c r="N136" s="213"/>
      <c r="O136" s="213"/>
      <c r="P136" s="213"/>
      <c r="Q136" s="213"/>
      <c r="R136" s="213"/>
    </row>
    <row r="137" spans="1:18" x14ac:dyDescent="0.25">
      <c r="A137" s="213"/>
      <c r="B137" s="213"/>
      <c r="C137" s="213"/>
      <c r="D137" s="213"/>
      <c r="E137" s="213"/>
      <c r="F137" s="213"/>
      <c r="G137" s="213"/>
      <c r="H137" s="213"/>
      <c r="I137" s="213"/>
      <c r="J137" s="213"/>
      <c r="K137" s="213"/>
      <c r="L137" s="213"/>
      <c r="M137" s="213"/>
      <c r="N137" s="213"/>
      <c r="O137" s="213"/>
      <c r="P137" s="213"/>
      <c r="Q137" s="213"/>
      <c r="R137" s="213"/>
    </row>
    <row r="138" spans="1:18" x14ac:dyDescent="0.25">
      <c r="A138" s="213"/>
      <c r="B138" s="213"/>
      <c r="C138" s="213"/>
      <c r="D138" s="213"/>
      <c r="E138" s="213"/>
      <c r="F138" s="213"/>
      <c r="G138" s="213"/>
      <c r="H138" s="213"/>
      <c r="I138" s="213"/>
      <c r="J138" s="213"/>
      <c r="K138" s="213"/>
      <c r="L138" s="213"/>
      <c r="M138" s="213"/>
      <c r="N138" s="213"/>
      <c r="O138" s="213"/>
      <c r="P138" s="213"/>
      <c r="Q138" s="213"/>
      <c r="R138" s="213"/>
    </row>
    <row r="139" spans="1:18" x14ac:dyDescent="0.25">
      <c r="A139" s="213"/>
      <c r="B139" s="213"/>
      <c r="C139" s="213"/>
      <c r="D139" s="213"/>
      <c r="E139" s="213"/>
      <c r="F139" s="213"/>
      <c r="G139" s="213"/>
      <c r="H139" s="213"/>
      <c r="I139" s="213"/>
      <c r="J139" s="213"/>
      <c r="K139" s="213"/>
      <c r="L139" s="213"/>
      <c r="M139" s="213"/>
      <c r="N139" s="213"/>
      <c r="O139" s="213"/>
      <c r="P139" s="213"/>
      <c r="Q139" s="213"/>
      <c r="R139" s="213"/>
    </row>
    <row r="140" spans="1:18" x14ac:dyDescent="0.25">
      <c r="A140" s="213"/>
      <c r="B140" s="213"/>
      <c r="C140" s="213"/>
      <c r="D140" s="213"/>
      <c r="E140" s="213"/>
      <c r="F140" s="213"/>
      <c r="G140" s="213"/>
      <c r="H140" s="213"/>
      <c r="I140" s="213"/>
      <c r="J140" s="213"/>
      <c r="K140" s="213"/>
      <c r="L140" s="213"/>
      <c r="M140" s="213"/>
      <c r="N140" s="213"/>
      <c r="O140" s="213"/>
      <c r="P140" s="213"/>
      <c r="Q140" s="213"/>
      <c r="R140" s="213"/>
    </row>
    <row r="141" spans="1:18" x14ac:dyDescent="0.25">
      <c r="A141" s="213"/>
      <c r="B141" s="213"/>
      <c r="C141" s="213"/>
      <c r="D141" s="213"/>
      <c r="E141" s="213"/>
      <c r="F141" s="213"/>
      <c r="G141" s="213"/>
      <c r="H141" s="213"/>
      <c r="I141" s="213"/>
      <c r="J141" s="213"/>
      <c r="K141" s="213"/>
      <c r="L141" s="213"/>
      <c r="M141" s="213"/>
      <c r="N141" s="213"/>
      <c r="O141" s="213"/>
      <c r="P141" s="213"/>
      <c r="Q141" s="213"/>
      <c r="R141" s="213"/>
    </row>
    <row r="142" spans="1:18" x14ac:dyDescent="0.25">
      <c r="A142" s="213"/>
      <c r="B142" s="213"/>
      <c r="C142" s="213"/>
      <c r="D142" s="213"/>
      <c r="E142" s="213"/>
      <c r="F142" s="213"/>
      <c r="G142" s="213"/>
      <c r="H142" s="213"/>
      <c r="I142" s="213"/>
      <c r="J142" s="213"/>
      <c r="K142" s="213"/>
      <c r="L142" s="213"/>
      <c r="M142" s="213"/>
      <c r="N142" s="213"/>
      <c r="O142" s="213"/>
      <c r="P142" s="213"/>
      <c r="Q142" s="213"/>
      <c r="R142" s="213"/>
    </row>
    <row r="143" spans="1:18" x14ac:dyDescent="0.25">
      <c r="A143" s="213"/>
      <c r="B143" s="213"/>
      <c r="C143" s="213"/>
      <c r="D143" s="213"/>
      <c r="E143" s="213"/>
      <c r="F143" s="213"/>
      <c r="G143" s="213"/>
      <c r="H143" s="213"/>
      <c r="I143" s="213"/>
      <c r="J143" s="213"/>
      <c r="K143" s="213"/>
      <c r="L143" s="213"/>
      <c r="M143" s="213"/>
      <c r="N143" s="213"/>
      <c r="O143" s="213"/>
      <c r="P143" s="213"/>
      <c r="Q143" s="213"/>
      <c r="R143" s="213"/>
    </row>
    <row r="144" spans="1:18" x14ac:dyDescent="0.25">
      <c r="A144" s="213"/>
      <c r="B144" s="213"/>
      <c r="C144" s="213"/>
      <c r="D144" s="213"/>
      <c r="E144" s="213"/>
      <c r="F144" s="213"/>
      <c r="G144" s="213"/>
      <c r="H144" s="213"/>
      <c r="I144" s="213"/>
      <c r="J144" s="213"/>
      <c r="K144" s="213"/>
      <c r="L144" s="213"/>
      <c r="M144" s="213"/>
      <c r="N144" s="213"/>
      <c r="O144" s="213"/>
      <c r="P144" s="213"/>
      <c r="Q144" s="213"/>
      <c r="R144" s="213"/>
    </row>
    <row r="145" spans="1:18" x14ac:dyDescent="0.25">
      <c r="A145" s="213"/>
      <c r="B145" s="213"/>
      <c r="C145" s="213"/>
      <c r="D145" s="213"/>
      <c r="E145" s="213"/>
      <c r="F145" s="213"/>
      <c r="G145" s="213"/>
      <c r="H145" s="213"/>
      <c r="I145" s="213"/>
      <c r="J145" s="213"/>
      <c r="K145" s="213"/>
      <c r="L145" s="213"/>
      <c r="M145" s="213"/>
      <c r="N145" s="213"/>
      <c r="O145" s="213"/>
      <c r="P145" s="213"/>
      <c r="Q145" s="213"/>
      <c r="R145" s="213"/>
    </row>
    <row r="146" spans="1:18" x14ac:dyDescent="0.25">
      <c r="A146" s="213"/>
      <c r="B146" s="213"/>
      <c r="C146" s="213"/>
      <c r="D146" s="213"/>
      <c r="E146" s="213"/>
      <c r="F146" s="213"/>
      <c r="G146" s="213"/>
      <c r="H146" s="213"/>
      <c r="I146" s="213"/>
      <c r="J146" s="213"/>
      <c r="K146" s="213"/>
      <c r="L146" s="213"/>
      <c r="M146" s="213"/>
      <c r="N146" s="213"/>
      <c r="O146" s="213"/>
      <c r="P146" s="213"/>
      <c r="Q146" s="213"/>
      <c r="R146" s="213"/>
    </row>
    <row r="147" spans="1:18" x14ac:dyDescent="0.25">
      <c r="A147" s="213"/>
      <c r="B147" s="213"/>
      <c r="C147" s="213"/>
      <c r="D147" s="213"/>
      <c r="E147" s="213"/>
      <c r="F147" s="213"/>
      <c r="G147" s="213"/>
      <c r="H147" s="213"/>
      <c r="I147" s="213"/>
      <c r="J147" s="213"/>
      <c r="K147" s="213"/>
      <c r="L147" s="213"/>
      <c r="M147" s="213"/>
      <c r="N147" s="213"/>
      <c r="O147" s="213"/>
      <c r="P147" s="213"/>
      <c r="Q147" s="213"/>
      <c r="R147" s="213"/>
    </row>
    <row r="148" spans="1:18" x14ac:dyDescent="0.25">
      <c r="A148" s="213"/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3"/>
      <c r="P148" s="213"/>
      <c r="Q148" s="213"/>
      <c r="R148" s="213"/>
    </row>
    <row r="149" spans="1:18" x14ac:dyDescent="0.25">
      <c r="A149" s="213"/>
      <c r="B149" s="213"/>
      <c r="C149" s="213"/>
      <c r="D149" s="213"/>
      <c r="E149" s="213"/>
      <c r="F149" s="213"/>
      <c r="G149" s="213"/>
      <c r="H149" s="213"/>
      <c r="I149" s="213"/>
      <c r="J149" s="213"/>
      <c r="K149" s="213"/>
      <c r="L149" s="213"/>
      <c r="M149" s="213"/>
      <c r="N149" s="213"/>
      <c r="O149" s="213"/>
      <c r="P149" s="213"/>
      <c r="Q149" s="213"/>
      <c r="R149" s="213"/>
    </row>
    <row r="150" spans="1:18" x14ac:dyDescent="0.25">
      <c r="A150" s="213"/>
      <c r="B150" s="213"/>
      <c r="C150" s="213"/>
      <c r="D150" s="213"/>
      <c r="E150" s="213"/>
      <c r="F150" s="213"/>
      <c r="G150" s="213"/>
      <c r="H150" s="213"/>
      <c r="I150" s="213"/>
      <c r="J150" s="213"/>
      <c r="K150" s="213"/>
      <c r="L150" s="213"/>
      <c r="M150" s="213"/>
      <c r="N150" s="213"/>
      <c r="O150" s="213"/>
      <c r="P150" s="213"/>
      <c r="Q150" s="213"/>
      <c r="R150" s="213"/>
    </row>
    <row r="151" spans="1:18" x14ac:dyDescent="0.25">
      <c r="A151" s="213"/>
      <c r="B151" s="213"/>
      <c r="C151" s="213"/>
      <c r="D151" s="213"/>
      <c r="E151" s="213"/>
      <c r="F151" s="213"/>
      <c r="G151" s="213"/>
      <c r="H151" s="213"/>
      <c r="I151" s="213"/>
      <c r="J151" s="213"/>
      <c r="K151" s="213"/>
      <c r="L151" s="213"/>
      <c r="M151" s="213"/>
      <c r="N151" s="213"/>
      <c r="O151" s="213"/>
      <c r="P151" s="213"/>
      <c r="Q151" s="213"/>
      <c r="R151" s="213"/>
    </row>
    <row r="152" spans="1:18" x14ac:dyDescent="0.25">
      <c r="A152" s="213"/>
      <c r="B152" s="213"/>
      <c r="C152" s="213"/>
      <c r="D152" s="213"/>
      <c r="E152" s="213"/>
      <c r="F152" s="213"/>
      <c r="G152" s="213"/>
      <c r="H152" s="213"/>
      <c r="I152" s="213"/>
      <c r="J152" s="213"/>
      <c r="K152" s="213"/>
      <c r="L152" s="213"/>
      <c r="M152" s="213"/>
      <c r="N152" s="213"/>
      <c r="O152" s="213"/>
      <c r="P152" s="213"/>
      <c r="Q152" s="213"/>
      <c r="R152" s="213"/>
    </row>
    <row r="153" spans="1:18" x14ac:dyDescent="0.25">
      <c r="A153" s="213"/>
      <c r="B153" s="213"/>
      <c r="C153" s="213"/>
      <c r="D153" s="213"/>
      <c r="E153" s="213"/>
      <c r="F153" s="213"/>
      <c r="G153" s="213"/>
      <c r="H153" s="213"/>
      <c r="I153" s="213"/>
      <c r="J153" s="213"/>
      <c r="K153" s="213"/>
      <c r="L153" s="213"/>
      <c r="M153" s="213"/>
      <c r="N153" s="213"/>
      <c r="O153" s="213"/>
      <c r="P153" s="213"/>
      <c r="Q153" s="213"/>
      <c r="R153" s="213"/>
    </row>
    <row r="154" spans="1:18" x14ac:dyDescent="0.25">
      <c r="A154" s="213"/>
      <c r="B154" s="213"/>
      <c r="C154" s="213"/>
      <c r="D154" s="213"/>
      <c r="E154" s="213"/>
      <c r="F154" s="213"/>
      <c r="G154" s="213"/>
      <c r="H154" s="213"/>
      <c r="I154" s="213"/>
      <c r="J154" s="213"/>
      <c r="K154" s="213"/>
      <c r="L154" s="213"/>
      <c r="M154" s="213"/>
      <c r="N154" s="213"/>
      <c r="O154" s="213"/>
      <c r="P154" s="213"/>
      <c r="Q154" s="213"/>
      <c r="R154" s="213"/>
    </row>
    <row r="155" spans="1:18" x14ac:dyDescent="0.25">
      <c r="A155" s="213"/>
      <c r="B155" s="213"/>
      <c r="C155" s="213"/>
      <c r="D155" s="213"/>
      <c r="E155" s="213"/>
      <c r="F155" s="213"/>
      <c r="G155" s="213"/>
      <c r="H155" s="213"/>
      <c r="I155" s="213"/>
      <c r="J155" s="213"/>
      <c r="K155" s="213"/>
      <c r="L155" s="213"/>
      <c r="M155" s="213"/>
      <c r="N155" s="213"/>
      <c r="O155" s="213"/>
      <c r="P155" s="213"/>
      <c r="Q155" s="213"/>
      <c r="R155" s="213"/>
    </row>
    <row r="156" spans="1:18" x14ac:dyDescent="0.25">
      <c r="A156" s="213"/>
      <c r="B156" s="213"/>
      <c r="C156" s="213"/>
      <c r="D156" s="213"/>
      <c r="E156" s="213"/>
      <c r="F156" s="213"/>
      <c r="G156" s="213"/>
      <c r="H156" s="213"/>
      <c r="I156" s="213"/>
      <c r="J156" s="213"/>
      <c r="K156" s="213"/>
      <c r="L156" s="213"/>
      <c r="M156" s="213"/>
      <c r="N156" s="213"/>
      <c r="O156" s="213"/>
      <c r="P156" s="213"/>
      <c r="Q156" s="213"/>
      <c r="R156" s="213"/>
    </row>
    <row r="157" spans="1:18" x14ac:dyDescent="0.25">
      <c r="A157" s="213"/>
      <c r="B157" s="213"/>
      <c r="C157" s="213"/>
      <c r="D157" s="213"/>
      <c r="E157" s="213"/>
      <c r="F157" s="213"/>
      <c r="G157" s="213"/>
      <c r="H157" s="213"/>
      <c r="I157" s="213"/>
      <c r="J157" s="213"/>
      <c r="K157" s="213"/>
      <c r="L157" s="213"/>
      <c r="M157" s="213"/>
      <c r="N157" s="213"/>
      <c r="O157" s="213"/>
      <c r="P157" s="213"/>
      <c r="Q157" s="213"/>
      <c r="R157" s="213"/>
    </row>
    <row r="158" spans="1:18" x14ac:dyDescent="0.25">
      <c r="A158" s="213"/>
      <c r="B158" s="213"/>
      <c r="C158" s="213"/>
      <c r="D158" s="213"/>
      <c r="E158" s="213"/>
      <c r="F158" s="213"/>
      <c r="G158" s="213"/>
      <c r="H158" s="213"/>
      <c r="I158" s="213"/>
      <c r="J158" s="213"/>
      <c r="K158" s="213"/>
      <c r="L158" s="213"/>
      <c r="M158" s="213"/>
      <c r="N158" s="213"/>
      <c r="O158" s="213"/>
      <c r="P158" s="213"/>
      <c r="Q158" s="213"/>
      <c r="R158" s="213"/>
    </row>
    <row r="159" spans="1:18" x14ac:dyDescent="0.25">
      <c r="A159" s="213"/>
      <c r="B159" s="213"/>
      <c r="C159" s="213"/>
      <c r="D159" s="213"/>
      <c r="E159" s="213"/>
      <c r="F159" s="213"/>
      <c r="G159" s="213"/>
      <c r="H159" s="213"/>
      <c r="I159" s="213"/>
      <c r="J159" s="213"/>
      <c r="K159" s="213"/>
      <c r="L159" s="213"/>
      <c r="M159" s="213"/>
      <c r="N159" s="213"/>
      <c r="O159" s="213"/>
      <c r="P159" s="213"/>
      <c r="Q159" s="213"/>
      <c r="R159" s="213"/>
    </row>
    <row r="160" spans="1:18" x14ac:dyDescent="0.25">
      <c r="A160" s="213"/>
      <c r="B160" s="213"/>
      <c r="C160" s="213"/>
      <c r="D160" s="213"/>
      <c r="E160" s="213"/>
      <c r="F160" s="213"/>
      <c r="G160" s="213"/>
      <c r="H160" s="213"/>
      <c r="I160" s="213"/>
      <c r="J160" s="213"/>
      <c r="K160" s="213"/>
      <c r="L160" s="213"/>
      <c r="M160" s="213"/>
      <c r="N160" s="213"/>
      <c r="O160" s="213"/>
      <c r="P160" s="213"/>
      <c r="Q160" s="213"/>
      <c r="R160" s="213"/>
    </row>
    <row r="161" spans="1:18" x14ac:dyDescent="0.25">
      <c r="A161" s="213"/>
      <c r="B161" s="213"/>
      <c r="C161" s="213"/>
      <c r="D161" s="213"/>
      <c r="E161" s="213"/>
      <c r="F161" s="213"/>
      <c r="G161" s="213"/>
      <c r="H161" s="213"/>
      <c r="I161" s="213"/>
      <c r="J161" s="213"/>
      <c r="K161" s="213"/>
      <c r="L161" s="213"/>
      <c r="M161" s="213"/>
      <c r="N161" s="213"/>
      <c r="O161" s="213"/>
      <c r="P161" s="213"/>
      <c r="Q161" s="213"/>
      <c r="R161" s="213"/>
    </row>
    <row r="162" spans="1:18" x14ac:dyDescent="0.25">
      <c r="A162" s="213"/>
      <c r="B162" s="213"/>
      <c r="C162" s="213"/>
      <c r="D162" s="213"/>
      <c r="E162" s="213"/>
      <c r="F162" s="213"/>
      <c r="G162" s="213"/>
      <c r="H162" s="213"/>
      <c r="I162" s="213"/>
      <c r="J162" s="213"/>
      <c r="K162" s="213"/>
      <c r="L162" s="213"/>
      <c r="M162" s="213"/>
      <c r="N162" s="213"/>
      <c r="O162" s="213"/>
      <c r="P162" s="213"/>
      <c r="Q162" s="213"/>
      <c r="R162" s="213"/>
    </row>
    <row r="163" spans="1:18" x14ac:dyDescent="0.25">
      <c r="A163" s="213"/>
      <c r="B163" s="213"/>
      <c r="C163" s="213"/>
      <c r="D163" s="213"/>
      <c r="E163" s="213"/>
      <c r="F163" s="213"/>
      <c r="G163" s="213"/>
      <c r="H163" s="213"/>
      <c r="I163" s="213"/>
      <c r="J163" s="213"/>
      <c r="K163" s="213"/>
      <c r="L163" s="213"/>
      <c r="M163" s="213"/>
      <c r="N163" s="213"/>
      <c r="O163" s="213"/>
      <c r="P163" s="213"/>
      <c r="Q163" s="213"/>
      <c r="R163" s="213"/>
    </row>
    <row r="164" spans="1:18" x14ac:dyDescent="0.25">
      <c r="A164" s="213"/>
      <c r="B164" s="213"/>
      <c r="C164" s="213"/>
      <c r="D164" s="213"/>
      <c r="E164" s="213"/>
      <c r="F164" s="213"/>
      <c r="G164" s="213"/>
      <c r="H164" s="213"/>
      <c r="I164" s="213"/>
      <c r="J164" s="213"/>
      <c r="K164" s="213"/>
      <c r="L164" s="213"/>
      <c r="M164" s="213"/>
      <c r="N164" s="213"/>
      <c r="O164" s="213"/>
      <c r="P164" s="213"/>
      <c r="Q164" s="213"/>
      <c r="R164" s="213"/>
    </row>
    <row r="165" spans="1:18" x14ac:dyDescent="0.25">
      <c r="A165" s="213"/>
      <c r="B165" s="213"/>
      <c r="C165" s="213"/>
      <c r="D165" s="213"/>
      <c r="E165" s="213"/>
      <c r="F165" s="213"/>
      <c r="G165" s="213"/>
      <c r="H165" s="213"/>
      <c r="I165" s="213"/>
      <c r="J165" s="213"/>
      <c r="K165" s="213"/>
      <c r="L165" s="213"/>
      <c r="M165" s="213"/>
      <c r="N165" s="213"/>
      <c r="O165" s="213"/>
      <c r="P165" s="213"/>
      <c r="Q165" s="213"/>
      <c r="R165" s="213"/>
    </row>
    <row r="166" spans="1:18" x14ac:dyDescent="0.25">
      <c r="A166" s="213"/>
      <c r="B166" s="213"/>
      <c r="C166" s="213"/>
      <c r="D166" s="213"/>
      <c r="E166" s="213"/>
      <c r="F166" s="213"/>
      <c r="G166" s="213"/>
      <c r="H166" s="213"/>
      <c r="I166" s="213"/>
      <c r="J166" s="213"/>
      <c r="K166" s="213"/>
      <c r="L166" s="213"/>
      <c r="M166" s="213"/>
      <c r="N166" s="213"/>
      <c r="O166" s="213"/>
      <c r="P166" s="213"/>
      <c r="Q166" s="213"/>
      <c r="R166" s="213"/>
    </row>
    <row r="167" spans="1:18" x14ac:dyDescent="0.25">
      <c r="A167" s="213"/>
      <c r="B167" s="213"/>
      <c r="C167" s="213"/>
      <c r="D167" s="213"/>
      <c r="E167" s="213"/>
      <c r="F167" s="213"/>
      <c r="G167" s="213"/>
      <c r="H167" s="213"/>
      <c r="I167" s="213"/>
      <c r="J167" s="213"/>
      <c r="K167" s="213"/>
      <c r="L167" s="213"/>
      <c r="M167" s="213"/>
      <c r="N167" s="213"/>
      <c r="O167" s="213"/>
      <c r="P167" s="213"/>
      <c r="Q167" s="213"/>
      <c r="R167" s="213"/>
    </row>
    <row r="168" spans="1:18" x14ac:dyDescent="0.25">
      <c r="A168" s="213"/>
      <c r="B168" s="213"/>
      <c r="C168" s="213"/>
      <c r="D168" s="213"/>
      <c r="E168" s="213"/>
      <c r="F168" s="213"/>
      <c r="G168" s="213"/>
      <c r="H168" s="213"/>
      <c r="I168" s="213"/>
      <c r="J168" s="213"/>
      <c r="K168" s="213"/>
      <c r="L168" s="213"/>
      <c r="M168" s="213"/>
      <c r="N168" s="213"/>
      <c r="O168" s="213"/>
      <c r="P168" s="213"/>
      <c r="Q168" s="213"/>
      <c r="R168" s="213"/>
    </row>
    <row r="169" spans="1:18" x14ac:dyDescent="0.25">
      <c r="A169" s="213"/>
      <c r="B169" s="213"/>
      <c r="C169" s="213"/>
      <c r="D169" s="213"/>
      <c r="E169" s="213"/>
      <c r="F169" s="213"/>
      <c r="G169" s="213"/>
      <c r="H169" s="213"/>
      <c r="I169" s="213"/>
      <c r="J169" s="213"/>
      <c r="K169" s="213"/>
      <c r="L169" s="213"/>
      <c r="M169" s="213"/>
      <c r="N169" s="213"/>
      <c r="O169" s="213"/>
      <c r="P169" s="213"/>
      <c r="Q169" s="213"/>
      <c r="R169" s="213"/>
    </row>
    <row r="170" spans="1:18" x14ac:dyDescent="0.25">
      <c r="A170" s="213"/>
      <c r="B170" s="213"/>
      <c r="C170" s="213"/>
      <c r="D170" s="213"/>
      <c r="E170" s="213"/>
      <c r="F170" s="213"/>
      <c r="G170" s="213"/>
      <c r="H170" s="213"/>
      <c r="I170" s="213"/>
      <c r="J170" s="213"/>
      <c r="K170" s="213"/>
      <c r="L170" s="213"/>
      <c r="M170" s="213"/>
      <c r="N170" s="213"/>
      <c r="O170" s="213"/>
      <c r="P170" s="213"/>
      <c r="Q170" s="213"/>
      <c r="R170" s="213"/>
    </row>
    <row r="171" spans="1:18" x14ac:dyDescent="0.25">
      <c r="A171" s="213"/>
      <c r="B171" s="213"/>
      <c r="C171" s="213"/>
      <c r="D171" s="213"/>
      <c r="E171" s="213"/>
      <c r="F171" s="213"/>
      <c r="G171" s="213"/>
      <c r="H171" s="213"/>
      <c r="I171" s="213"/>
      <c r="J171" s="213"/>
      <c r="K171" s="213"/>
      <c r="L171" s="213"/>
      <c r="M171" s="213"/>
      <c r="N171" s="213"/>
      <c r="O171" s="213"/>
      <c r="P171" s="213"/>
      <c r="Q171" s="213"/>
      <c r="R171" s="213"/>
    </row>
    <row r="172" spans="1:18" x14ac:dyDescent="0.25">
      <c r="A172" s="213"/>
      <c r="B172" s="213"/>
      <c r="C172" s="213"/>
      <c r="D172" s="213"/>
      <c r="E172" s="213"/>
      <c r="F172" s="213"/>
      <c r="G172" s="213"/>
      <c r="H172" s="213"/>
      <c r="I172" s="213"/>
      <c r="J172" s="213"/>
      <c r="K172" s="213"/>
      <c r="L172" s="213"/>
      <c r="M172" s="213"/>
      <c r="N172" s="213"/>
      <c r="O172" s="213"/>
      <c r="P172" s="213"/>
      <c r="Q172" s="213"/>
      <c r="R172" s="213"/>
    </row>
    <row r="173" spans="1:18" x14ac:dyDescent="0.25">
      <c r="A173" s="213"/>
      <c r="B173" s="213"/>
      <c r="C173" s="213"/>
      <c r="D173" s="213"/>
      <c r="E173" s="213"/>
      <c r="F173" s="213"/>
      <c r="G173" s="213"/>
      <c r="H173" s="213"/>
      <c r="I173" s="213"/>
      <c r="J173" s="213"/>
      <c r="K173" s="213"/>
      <c r="L173" s="213"/>
      <c r="M173" s="213"/>
      <c r="N173" s="213"/>
      <c r="O173" s="213"/>
      <c r="P173" s="213"/>
      <c r="Q173" s="213"/>
      <c r="R173" s="213"/>
    </row>
    <row r="174" spans="1:18" x14ac:dyDescent="0.25">
      <c r="A174" s="213"/>
      <c r="B174" s="213"/>
      <c r="C174" s="213"/>
      <c r="D174" s="213"/>
      <c r="E174" s="213"/>
      <c r="F174" s="213"/>
      <c r="G174" s="213"/>
      <c r="H174" s="213"/>
      <c r="I174" s="213"/>
      <c r="J174" s="213"/>
      <c r="K174" s="213"/>
      <c r="L174" s="213"/>
      <c r="M174" s="213"/>
      <c r="N174" s="213"/>
      <c r="O174" s="213"/>
      <c r="P174" s="213"/>
      <c r="Q174" s="213"/>
      <c r="R174" s="213"/>
    </row>
    <row r="175" spans="1:18" x14ac:dyDescent="0.25">
      <c r="A175" s="213"/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3"/>
      <c r="P175" s="213"/>
      <c r="Q175" s="213"/>
      <c r="R175" s="213"/>
    </row>
    <row r="176" spans="1:18" x14ac:dyDescent="0.25">
      <c r="A176" s="213"/>
      <c r="B176" s="213"/>
      <c r="C176" s="213"/>
      <c r="D176" s="213"/>
      <c r="E176" s="213"/>
      <c r="F176" s="213"/>
      <c r="G176" s="213"/>
      <c r="H176" s="213"/>
      <c r="I176" s="213"/>
      <c r="J176" s="213"/>
      <c r="K176" s="213"/>
      <c r="L176" s="213"/>
      <c r="M176" s="213"/>
      <c r="N176" s="213"/>
      <c r="O176" s="213"/>
      <c r="P176" s="213"/>
      <c r="Q176" s="213"/>
      <c r="R176" s="213"/>
    </row>
    <row r="177" spans="1:18" x14ac:dyDescent="0.25">
      <c r="A177" s="213"/>
      <c r="B177" s="213"/>
      <c r="C177" s="213"/>
      <c r="D177" s="213"/>
      <c r="E177" s="213"/>
      <c r="F177" s="213"/>
      <c r="G177" s="213"/>
      <c r="H177" s="213"/>
      <c r="I177" s="213"/>
      <c r="J177" s="213"/>
      <c r="K177" s="213"/>
      <c r="L177" s="213"/>
      <c r="M177" s="213"/>
      <c r="N177" s="213"/>
      <c r="O177" s="213"/>
      <c r="P177" s="213"/>
      <c r="Q177" s="213"/>
      <c r="R177" s="213"/>
    </row>
    <row r="178" spans="1:18" x14ac:dyDescent="0.25">
      <c r="A178" s="213"/>
      <c r="B178" s="213"/>
      <c r="C178" s="213"/>
      <c r="D178" s="213"/>
      <c r="E178" s="213"/>
      <c r="F178" s="213"/>
      <c r="G178" s="213"/>
      <c r="H178" s="213"/>
      <c r="I178" s="213"/>
      <c r="J178" s="213"/>
      <c r="K178" s="213"/>
      <c r="L178" s="213"/>
      <c r="M178" s="213"/>
      <c r="N178" s="213"/>
      <c r="O178" s="213"/>
      <c r="P178" s="213"/>
      <c r="Q178" s="213"/>
      <c r="R178" s="213"/>
    </row>
    <row r="179" spans="1:18" x14ac:dyDescent="0.25">
      <c r="A179" s="213"/>
      <c r="B179" s="213"/>
      <c r="C179" s="213"/>
      <c r="D179" s="213"/>
      <c r="E179" s="213"/>
      <c r="F179" s="213"/>
      <c r="G179" s="213"/>
      <c r="H179" s="213"/>
      <c r="I179" s="213"/>
      <c r="J179" s="213"/>
      <c r="K179" s="213"/>
      <c r="L179" s="213"/>
      <c r="M179" s="213"/>
      <c r="N179" s="213"/>
      <c r="O179" s="213"/>
      <c r="P179" s="213"/>
      <c r="Q179" s="213"/>
      <c r="R179" s="213"/>
    </row>
    <row r="180" spans="1:18" x14ac:dyDescent="0.25">
      <c r="A180" s="213"/>
      <c r="B180" s="213"/>
      <c r="C180" s="213"/>
      <c r="D180" s="213"/>
      <c r="E180" s="213"/>
      <c r="F180" s="213"/>
      <c r="G180" s="213"/>
      <c r="H180" s="213"/>
      <c r="I180" s="213"/>
      <c r="J180" s="213"/>
      <c r="K180" s="213"/>
      <c r="L180" s="213"/>
      <c r="M180" s="213"/>
      <c r="N180" s="213"/>
      <c r="O180" s="213"/>
      <c r="P180" s="213"/>
      <c r="Q180" s="213"/>
      <c r="R180" s="213"/>
    </row>
    <row r="181" spans="1:18" x14ac:dyDescent="0.25">
      <c r="A181" s="213"/>
      <c r="B181" s="213"/>
      <c r="C181" s="213"/>
      <c r="D181" s="213"/>
      <c r="E181" s="213"/>
      <c r="F181" s="213"/>
      <c r="G181" s="213"/>
      <c r="H181" s="213"/>
      <c r="I181" s="213"/>
      <c r="J181" s="213"/>
      <c r="K181" s="213"/>
      <c r="L181" s="213"/>
      <c r="M181" s="213"/>
      <c r="N181" s="213"/>
      <c r="O181" s="213"/>
      <c r="P181" s="213"/>
      <c r="Q181" s="213"/>
      <c r="R181" s="213"/>
    </row>
    <row r="182" spans="1:18" x14ac:dyDescent="0.25">
      <c r="A182" s="213"/>
      <c r="B182" s="213"/>
      <c r="C182" s="213"/>
      <c r="D182" s="213"/>
      <c r="E182" s="213"/>
      <c r="F182" s="213"/>
      <c r="G182" s="213"/>
      <c r="H182" s="213"/>
      <c r="I182" s="213"/>
      <c r="J182" s="213"/>
      <c r="K182" s="213"/>
      <c r="L182" s="213"/>
      <c r="M182" s="213"/>
      <c r="N182" s="213"/>
      <c r="O182" s="213"/>
      <c r="P182" s="213"/>
      <c r="Q182" s="213"/>
      <c r="R182" s="213"/>
    </row>
    <row r="183" spans="1:18" x14ac:dyDescent="0.25">
      <c r="A183" s="213"/>
      <c r="B183" s="213"/>
      <c r="C183" s="213"/>
      <c r="D183" s="213"/>
      <c r="E183" s="213"/>
      <c r="F183" s="213"/>
      <c r="G183" s="213"/>
      <c r="H183" s="213"/>
      <c r="I183" s="213"/>
      <c r="J183" s="213"/>
      <c r="K183" s="213"/>
      <c r="L183" s="213"/>
      <c r="M183" s="213"/>
      <c r="N183" s="213"/>
      <c r="O183" s="213"/>
      <c r="P183" s="213"/>
      <c r="Q183" s="213"/>
      <c r="R183" s="213"/>
    </row>
    <row r="184" spans="1:18" x14ac:dyDescent="0.25">
      <c r="A184" s="213"/>
      <c r="B184" s="213"/>
      <c r="C184" s="213"/>
      <c r="D184" s="213"/>
      <c r="E184" s="213"/>
      <c r="F184" s="213"/>
      <c r="G184" s="213"/>
      <c r="H184" s="213"/>
      <c r="I184" s="213"/>
      <c r="J184" s="213"/>
      <c r="K184" s="213"/>
      <c r="L184" s="213"/>
      <c r="M184" s="213"/>
      <c r="N184" s="213"/>
      <c r="O184" s="213"/>
      <c r="P184" s="213"/>
      <c r="Q184" s="213"/>
      <c r="R184" s="213"/>
    </row>
    <row r="185" spans="1:18" x14ac:dyDescent="0.25">
      <c r="A185" s="213"/>
      <c r="B185" s="213"/>
      <c r="C185" s="213"/>
      <c r="D185" s="213"/>
      <c r="E185" s="213"/>
      <c r="F185" s="213"/>
      <c r="G185" s="213"/>
      <c r="H185" s="213"/>
      <c r="I185" s="213"/>
      <c r="J185" s="213"/>
      <c r="K185" s="213"/>
      <c r="L185" s="213"/>
      <c r="M185" s="213"/>
      <c r="N185" s="213"/>
      <c r="O185" s="213"/>
      <c r="P185" s="213"/>
      <c r="Q185" s="213"/>
      <c r="R185" s="213"/>
    </row>
    <row r="186" spans="1:18" x14ac:dyDescent="0.25">
      <c r="A186" s="213"/>
      <c r="B186" s="213"/>
      <c r="C186" s="213"/>
      <c r="D186" s="213"/>
      <c r="E186" s="213"/>
      <c r="F186" s="213"/>
      <c r="G186" s="213"/>
      <c r="H186" s="213"/>
      <c r="I186" s="213"/>
      <c r="J186" s="213"/>
      <c r="K186" s="213"/>
      <c r="L186" s="213"/>
      <c r="M186" s="213"/>
      <c r="N186" s="213"/>
      <c r="O186" s="213"/>
      <c r="P186" s="213"/>
      <c r="Q186" s="213"/>
      <c r="R186" s="213"/>
    </row>
    <row r="187" spans="1:18" x14ac:dyDescent="0.25">
      <c r="A187" s="213"/>
      <c r="B187" s="213"/>
      <c r="C187" s="213"/>
      <c r="D187" s="213"/>
      <c r="E187" s="213"/>
      <c r="F187" s="213"/>
      <c r="G187" s="213"/>
      <c r="H187" s="213"/>
      <c r="I187" s="213"/>
      <c r="J187" s="213"/>
      <c r="K187" s="213"/>
      <c r="L187" s="213"/>
      <c r="M187" s="213"/>
      <c r="N187" s="213"/>
      <c r="O187" s="213"/>
      <c r="P187" s="213"/>
      <c r="Q187" s="213"/>
      <c r="R187" s="213"/>
    </row>
    <row r="188" spans="1:18" x14ac:dyDescent="0.25">
      <c r="A188" s="213"/>
      <c r="B188" s="213"/>
      <c r="C188" s="213"/>
      <c r="D188" s="213"/>
      <c r="E188" s="213"/>
      <c r="F188" s="213"/>
      <c r="G188" s="213"/>
      <c r="H188" s="213"/>
      <c r="I188" s="213"/>
      <c r="J188" s="213"/>
      <c r="K188" s="213"/>
      <c r="L188" s="213"/>
      <c r="M188" s="213"/>
      <c r="N188" s="213"/>
      <c r="O188" s="213"/>
      <c r="P188" s="213"/>
      <c r="Q188" s="213"/>
      <c r="R188" s="213"/>
    </row>
    <row r="189" spans="1:18" x14ac:dyDescent="0.25">
      <c r="A189" s="213"/>
      <c r="B189" s="213"/>
      <c r="C189" s="213"/>
      <c r="D189" s="213"/>
      <c r="E189" s="213"/>
      <c r="F189" s="213"/>
      <c r="G189" s="213"/>
      <c r="H189" s="213"/>
      <c r="I189" s="213"/>
      <c r="J189" s="213"/>
      <c r="K189" s="213"/>
      <c r="L189" s="213"/>
      <c r="M189" s="213"/>
      <c r="N189" s="213"/>
      <c r="O189" s="213"/>
      <c r="P189" s="213"/>
      <c r="Q189" s="213"/>
      <c r="R189" s="213"/>
    </row>
    <row r="190" spans="1:18" x14ac:dyDescent="0.25">
      <c r="A190" s="213"/>
      <c r="B190" s="213"/>
      <c r="C190" s="213"/>
      <c r="D190" s="213"/>
      <c r="E190" s="213"/>
      <c r="F190" s="213"/>
      <c r="G190" s="213"/>
      <c r="H190" s="213"/>
      <c r="I190" s="213"/>
      <c r="J190" s="213"/>
      <c r="K190" s="213"/>
      <c r="L190" s="213"/>
      <c r="M190" s="213"/>
      <c r="N190" s="213"/>
      <c r="O190" s="213"/>
      <c r="P190" s="213"/>
      <c r="Q190" s="213"/>
      <c r="R190" s="213"/>
    </row>
    <row r="191" spans="1:18" x14ac:dyDescent="0.25">
      <c r="A191" s="213"/>
      <c r="B191" s="213"/>
      <c r="C191" s="213"/>
      <c r="D191" s="213"/>
      <c r="E191" s="213"/>
      <c r="F191" s="213"/>
      <c r="G191" s="213"/>
      <c r="H191" s="213"/>
      <c r="I191" s="213"/>
      <c r="J191" s="213"/>
      <c r="K191" s="213"/>
      <c r="L191" s="213"/>
      <c r="M191" s="213"/>
      <c r="N191" s="213"/>
      <c r="O191" s="213"/>
      <c r="P191" s="213"/>
      <c r="Q191" s="213"/>
      <c r="R191" s="213"/>
    </row>
    <row r="192" spans="1:18" x14ac:dyDescent="0.25">
      <c r="A192" s="213"/>
      <c r="B192" s="213"/>
      <c r="C192" s="213"/>
      <c r="D192" s="213"/>
      <c r="E192" s="213"/>
      <c r="F192" s="213"/>
      <c r="G192" s="213"/>
      <c r="H192" s="213"/>
      <c r="I192" s="213"/>
      <c r="J192" s="213"/>
      <c r="K192" s="213"/>
      <c r="L192" s="213"/>
      <c r="M192" s="213"/>
      <c r="N192" s="213"/>
      <c r="O192" s="213"/>
      <c r="P192" s="213"/>
      <c r="Q192" s="213"/>
      <c r="R192" s="213"/>
    </row>
    <row r="193" spans="1:18" x14ac:dyDescent="0.25">
      <c r="A193" s="213"/>
      <c r="B193" s="213"/>
      <c r="C193" s="213"/>
      <c r="D193" s="213"/>
      <c r="E193" s="213"/>
      <c r="F193" s="213"/>
      <c r="G193" s="213"/>
      <c r="H193" s="213"/>
      <c r="I193" s="213"/>
      <c r="J193" s="213"/>
      <c r="K193" s="213"/>
      <c r="L193" s="213"/>
      <c r="M193" s="213"/>
      <c r="N193" s="213"/>
      <c r="O193" s="213"/>
      <c r="P193" s="213"/>
      <c r="Q193" s="213"/>
      <c r="R193" s="213"/>
    </row>
    <row r="194" spans="1:18" x14ac:dyDescent="0.25">
      <c r="A194" s="213"/>
      <c r="B194" s="213"/>
      <c r="C194" s="213"/>
      <c r="D194" s="213"/>
      <c r="E194" s="213"/>
      <c r="F194" s="213"/>
      <c r="G194" s="213"/>
      <c r="H194" s="213"/>
      <c r="I194" s="213"/>
      <c r="J194" s="213"/>
      <c r="K194" s="213"/>
      <c r="L194" s="213"/>
      <c r="M194" s="213"/>
      <c r="N194" s="213"/>
      <c r="O194" s="213"/>
      <c r="P194" s="213"/>
      <c r="Q194" s="213"/>
      <c r="R194" s="213"/>
    </row>
    <row r="195" spans="1:18" x14ac:dyDescent="0.25">
      <c r="A195" s="213"/>
      <c r="B195" s="213"/>
      <c r="C195" s="213"/>
      <c r="D195" s="213"/>
      <c r="E195" s="213"/>
      <c r="F195" s="213"/>
      <c r="G195" s="213"/>
      <c r="H195" s="213"/>
      <c r="I195" s="213"/>
      <c r="J195" s="213"/>
      <c r="K195" s="213"/>
      <c r="L195" s="213"/>
      <c r="M195" s="213"/>
      <c r="N195" s="213"/>
      <c r="O195" s="213"/>
      <c r="P195" s="213"/>
      <c r="Q195" s="213"/>
      <c r="R195" s="213"/>
    </row>
    <row r="196" spans="1:18" x14ac:dyDescent="0.25">
      <c r="A196" s="213"/>
      <c r="B196" s="213"/>
      <c r="C196" s="213"/>
      <c r="D196" s="213"/>
      <c r="E196" s="213"/>
      <c r="F196" s="213"/>
      <c r="G196" s="213"/>
      <c r="H196" s="213"/>
      <c r="I196" s="213"/>
      <c r="J196" s="213"/>
      <c r="K196" s="213"/>
      <c r="L196" s="213"/>
      <c r="M196" s="213"/>
      <c r="N196" s="213"/>
      <c r="O196" s="213"/>
      <c r="P196" s="213"/>
      <c r="Q196" s="213"/>
      <c r="R196" s="213"/>
    </row>
    <row r="197" spans="1:18" x14ac:dyDescent="0.25">
      <c r="A197" s="213"/>
      <c r="B197" s="213"/>
      <c r="C197" s="213"/>
      <c r="D197" s="213"/>
      <c r="E197" s="213"/>
      <c r="F197" s="213"/>
      <c r="G197" s="213"/>
      <c r="H197" s="213"/>
      <c r="I197" s="213"/>
      <c r="J197" s="213"/>
      <c r="K197" s="213"/>
      <c r="L197" s="213"/>
      <c r="M197" s="213"/>
      <c r="N197" s="213"/>
      <c r="O197" s="213"/>
      <c r="P197" s="213"/>
      <c r="Q197" s="213"/>
      <c r="R197" s="213"/>
    </row>
    <row r="198" spans="1:18" x14ac:dyDescent="0.25">
      <c r="A198" s="213"/>
      <c r="B198" s="213"/>
      <c r="C198" s="213"/>
      <c r="D198" s="213"/>
      <c r="E198" s="213"/>
      <c r="F198" s="213"/>
      <c r="G198" s="213"/>
      <c r="H198" s="213"/>
      <c r="I198" s="213"/>
      <c r="J198" s="213"/>
      <c r="K198" s="213"/>
      <c r="L198" s="213"/>
      <c r="M198" s="213"/>
      <c r="N198" s="213"/>
      <c r="O198" s="213"/>
      <c r="P198" s="213"/>
      <c r="Q198" s="213"/>
      <c r="R198" s="213"/>
    </row>
    <row r="199" spans="1:18" x14ac:dyDescent="0.25">
      <c r="A199" s="213"/>
      <c r="B199" s="213"/>
      <c r="C199" s="213"/>
      <c r="D199" s="213"/>
      <c r="E199" s="213"/>
      <c r="F199" s="213"/>
      <c r="G199" s="213"/>
      <c r="H199" s="213"/>
      <c r="I199" s="213"/>
      <c r="J199" s="213"/>
      <c r="K199" s="213"/>
      <c r="L199" s="213"/>
      <c r="M199" s="213"/>
      <c r="N199" s="213"/>
      <c r="O199" s="213"/>
      <c r="P199" s="213"/>
      <c r="Q199" s="213"/>
      <c r="R199" s="213"/>
    </row>
    <row r="200" spans="1:18" x14ac:dyDescent="0.25">
      <c r="A200" s="213"/>
      <c r="B200" s="213"/>
      <c r="C200" s="213"/>
      <c r="D200" s="213"/>
      <c r="E200" s="213"/>
      <c r="F200" s="213"/>
      <c r="G200" s="213"/>
      <c r="H200" s="213"/>
      <c r="I200" s="213"/>
      <c r="J200" s="213"/>
      <c r="K200" s="213"/>
      <c r="L200" s="213"/>
      <c r="M200" s="213"/>
      <c r="N200" s="213"/>
      <c r="O200" s="213"/>
      <c r="P200" s="213"/>
      <c r="Q200" s="213"/>
      <c r="R200" s="213"/>
    </row>
    <row r="201" spans="1:18" x14ac:dyDescent="0.25">
      <c r="A201" s="213"/>
      <c r="B201" s="213"/>
      <c r="C201" s="213"/>
      <c r="D201" s="213"/>
      <c r="E201" s="213"/>
      <c r="F201" s="213"/>
      <c r="G201" s="213"/>
      <c r="H201" s="213"/>
      <c r="I201" s="213"/>
      <c r="J201" s="213"/>
      <c r="K201" s="213"/>
      <c r="L201" s="213"/>
      <c r="M201" s="213"/>
      <c r="N201" s="213"/>
      <c r="O201" s="213"/>
      <c r="P201" s="213"/>
      <c r="Q201" s="213"/>
      <c r="R201" s="213"/>
    </row>
    <row r="202" spans="1:18" x14ac:dyDescent="0.25">
      <c r="A202" s="213"/>
      <c r="B202" s="213"/>
      <c r="C202" s="213"/>
      <c r="D202" s="213"/>
      <c r="E202" s="213"/>
      <c r="F202" s="213"/>
      <c r="G202" s="213"/>
      <c r="H202" s="213"/>
      <c r="I202" s="213"/>
      <c r="J202" s="213"/>
      <c r="K202" s="213"/>
      <c r="L202" s="213"/>
      <c r="M202" s="213"/>
      <c r="N202" s="213"/>
      <c r="O202" s="213"/>
      <c r="P202" s="213"/>
      <c r="Q202" s="213"/>
      <c r="R202" s="213"/>
    </row>
    <row r="203" spans="1:18" x14ac:dyDescent="0.25">
      <c r="A203" s="213"/>
      <c r="B203" s="213"/>
      <c r="C203" s="213"/>
      <c r="D203" s="213"/>
      <c r="E203" s="213"/>
      <c r="F203" s="213"/>
      <c r="G203" s="213"/>
      <c r="H203" s="213"/>
      <c r="I203" s="213"/>
      <c r="J203" s="213"/>
      <c r="K203" s="213"/>
      <c r="L203" s="213"/>
      <c r="M203" s="213"/>
      <c r="N203" s="213"/>
      <c r="O203" s="213"/>
      <c r="P203" s="213"/>
      <c r="Q203" s="213"/>
      <c r="R203" s="213"/>
    </row>
    <row r="204" spans="1:18" x14ac:dyDescent="0.25">
      <c r="A204" s="213"/>
      <c r="B204" s="213"/>
      <c r="C204" s="213"/>
      <c r="D204" s="213"/>
      <c r="E204" s="213"/>
      <c r="F204" s="213"/>
      <c r="G204" s="213"/>
      <c r="H204" s="213"/>
      <c r="I204" s="213"/>
      <c r="J204" s="213"/>
      <c r="K204" s="213"/>
      <c r="L204" s="213"/>
      <c r="M204" s="213"/>
      <c r="N204" s="213"/>
      <c r="O204" s="213"/>
      <c r="P204" s="213"/>
      <c r="Q204" s="213"/>
      <c r="R204" s="213"/>
    </row>
    <row r="205" spans="1:18" x14ac:dyDescent="0.25">
      <c r="A205" s="213"/>
      <c r="B205" s="213"/>
      <c r="C205" s="213"/>
      <c r="D205" s="213"/>
      <c r="E205" s="213"/>
      <c r="F205" s="213"/>
      <c r="G205" s="213"/>
      <c r="H205" s="213"/>
      <c r="I205" s="213"/>
      <c r="J205" s="213"/>
      <c r="K205" s="213"/>
      <c r="L205" s="213"/>
      <c r="M205" s="213"/>
      <c r="N205" s="213"/>
      <c r="O205" s="213"/>
      <c r="P205" s="213"/>
      <c r="Q205" s="213"/>
      <c r="R205" s="213"/>
    </row>
    <row r="206" spans="1:18" x14ac:dyDescent="0.25">
      <c r="A206" s="213"/>
      <c r="B206" s="213"/>
      <c r="C206" s="213"/>
      <c r="D206" s="213"/>
      <c r="E206" s="213"/>
      <c r="F206" s="213"/>
      <c r="G206" s="213"/>
      <c r="H206" s="213"/>
      <c r="I206" s="213"/>
      <c r="J206" s="213"/>
      <c r="K206" s="213"/>
      <c r="L206" s="213"/>
      <c r="M206" s="213"/>
      <c r="N206" s="213"/>
      <c r="O206" s="213"/>
      <c r="P206" s="213"/>
      <c r="Q206" s="213"/>
      <c r="R206" s="213"/>
    </row>
    <row r="207" spans="1:18" x14ac:dyDescent="0.25">
      <c r="A207" s="213"/>
      <c r="B207" s="213"/>
      <c r="C207" s="213"/>
      <c r="D207" s="213"/>
      <c r="E207" s="213"/>
      <c r="F207" s="213"/>
      <c r="G207" s="213"/>
      <c r="H207" s="213"/>
      <c r="I207" s="213"/>
      <c r="J207" s="213"/>
      <c r="K207" s="213"/>
      <c r="L207" s="213"/>
      <c r="M207" s="213"/>
      <c r="N207" s="213"/>
      <c r="O207" s="213"/>
      <c r="P207" s="213"/>
      <c r="Q207" s="213"/>
      <c r="R207" s="213"/>
    </row>
    <row r="208" spans="1:18" x14ac:dyDescent="0.25">
      <c r="A208" s="213"/>
      <c r="B208" s="213"/>
      <c r="C208" s="213"/>
      <c r="D208" s="213"/>
      <c r="E208" s="213"/>
      <c r="F208" s="213"/>
      <c r="G208" s="213"/>
      <c r="H208" s="213"/>
      <c r="I208" s="213"/>
      <c r="J208" s="213"/>
      <c r="K208" s="213"/>
      <c r="L208" s="213"/>
      <c r="M208" s="213"/>
      <c r="N208" s="213"/>
      <c r="O208" s="213"/>
      <c r="P208" s="213"/>
      <c r="Q208" s="213"/>
      <c r="R208" s="213"/>
    </row>
    <row r="209" spans="1:18" x14ac:dyDescent="0.25">
      <c r="A209" s="213"/>
      <c r="B209" s="213"/>
      <c r="C209" s="213"/>
      <c r="D209" s="213"/>
      <c r="E209" s="213"/>
      <c r="F209" s="213"/>
      <c r="G209" s="213"/>
      <c r="H209" s="213"/>
      <c r="I209" s="213"/>
      <c r="J209" s="213"/>
      <c r="K209" s="213"/>
      <c r="L209" s="213"/>
      <c r="M209" s="213"/>
      <c r="N209" s="213"/>
      <c r="O209" s="213"/>
      <c r="P209" s="213"/>
      <c r="Q209" s="213"/>
      <c r="R209" s="213"/>
    </row>
    <row r="210" spans="1:18" x14ac:dyDescent="0.25">
      <c r="A210" s="213"/>
      <c r="B210" s="213"/>
      <c r="C210" s="213"/>
      <c r="D210" s="213"/>
      <c r="E210" s="213"/>
      <c r="F210" s="213"/>
      <c r="G210" s="213"/>
      <c r="H210" s="213"/>
      <c r="I210" s="213"/>
      <c r="J210" s="213"/>
      <c r="K210" s="213"/>
      <c r="L210" s="213"/>
      <c r="M210" s="213"/>
      <c r="N210" s="213"/>
      <c r="O210" s="213"/>
      <c r="P210" s="213"/>
      <c r="Q210" s="213"/>
      <c r="R210" s="213"/>
    </row>
    <row r="211" spans="1:18" x14ac:dyDescent="0.25">
      <c r="A211" s="213"/>
      <c r="B211" s="213"/>
      <c r="C211" s="213"/>
      <c r="D211" s="213"/>
      <c r="E211" s="213"/>
      <c r="F211" s="213"/>
      <c r="G211" s="213"/>
      <c r="H211" s="213"/>
      <c r="I211" s="213"/>
      <c r="J211" s="213"/>
      <c r="K211" s="213"/>
      <c r="L211" s="213"/>
      <c r="M211" s="213"/>
      <c r="N211" s="213"/>
      <c r="O211" s="213"/>
      <c r="P211" s="213"/>
      <c r="Q211" s="213"/>
      <c r="R211" s="213"/>
    </row>
    <row r="212" spans="1:18" x14ac:dyDescent="0.25">
      <c r="A212" s="213"/>
      <c r="B212" s="213"/>
      <c r="C212" s="213"/>
      <c r="D212" s="213"/>
      <c r="E212" s="213"/>
      <c r="F212" s="213"/>
      <c r="G212" s="213"/>
      <c r="H212" s="213"/>
      <c r="I212" s="213"/>
      <c r="J212" s="213"/>
      <c r="K212" s="213"/>
      <c r="L212" s="213"/>
      <c r="M212" s="213"/>
      <c r="N212" s="213"/>
      <c r="O212" s="213"/>
      <c r="P212" s="213"/>
      <c r="Q212" s="213"/>
      <c r="R212" s="213"/>
    </row>
    <row r="213" spans="1:18" x14ac:dyDescent="0.25">
      <c r="A213" s="213"/>
      <c r="B213" s="213"/>
      <c r="C213" s="213"/>
      <c r="D213" s="213"/>
      <c r="E213" s="213"/>
      <c r="F213" s="213"/>
      <c r="G213" s="213"/>
      <c r="H213" s="213"/>
      <c r="I213" s="213"/>
      <c r="J213" s="213"/>
      <c r="K213" s="213"/>
      <c r="L213" s="213"/>
      <c r="M213" s="213"/>
      <c r="N213" s="213"/>
      <c r="O213" s="213"/>
      <c r="P213" s="213"/>
      <c r="Q213" s="213"/>
      <c r="R213" s="213"/>
    </row>
    <row r="214" spans="1:18" x14ac:dyDescent="0.25">
      <c r="A214" s="213"/>
      <c r="B214" s="213"/>
      <c r="C214" s="213"/>
      <c r="D214" s="213"/>
      <c r="E214" s="213"/>
      <c r="F214" s="213"/>
      <c r="G214" s="213"/>
      <c r="H214" s="213"/>
      <c r="I214" s="213"/>
      <c r="J214" s="213"/>
      <c r="K214" s="213"/>
      <c r="L214" s="213"/>
      <c r="M214" s="213"/>
      <c r="N214" s="213"/>
      <c r="O214" s="213"/>
      <c r="P214" s="213"/>
      <c r="Q214" s="213"/>
      <c r="R214" s="213"/>
    </row>
    <row r="215" spans="1:18" x14ac:dyDescent="0.25">
      <c r="A215" s="213"/>
      <c r="B215" s="213"/>
      <c r="C215" s="213"/>
      <c r="D215" s="213"/>
      <c r="E215" s="213"/>
      <c r="F215" s="213"/>
      <c r="G215" s="213"/>
      <c r="H215" s="213"/>
      <c r="I215" s="213"/>
      <c r="J215" s="213"/>
      <c r="K215" s="213"/>
      <c r="L215" s="213"/>
      <c r="M215" s="213"/>
      <c r="N215" s="213"/>
      <c r="O215" s="213"/>
      <c r="P215" s="213"/>
      <c r="Q215" s="213"/>
      <c r="R215" s="213"/>
    </row>
    <row r="216" spans="1:18" x14ac:dyDescent="0.25">
      <c r="A216" s="213"/>
      <c r="B216" s="213"/>
      <c r="C216" s="213"/>
      <c r="D216" s="213"/>
      <c r="E216" s="213"/>
      <c r="F216" s="213"/>
      <c r="G216" s="213"/>
      <c r="H216" s="213"/>
      <c r="I216" s="213"/>
      <c r="J216" s="213"/>
      <c r="K216" s="213"/>
      <c r="L216" s="213"/>
      <c r="M216" s="213"/>
      <c r="N216" s="213"/>
      <c r="O216" s="213"/>
      <c r="P216" s="213"/>
      <c r="Q216" s="213"/>
      <c r="R216" s="213"/>
    </row>
    <row r="217" spans="1:18" x14ac:dyDescent="0.25">
      <c r="A217" s="213"/>
      <c r="B217" s="213"/>
      <c r="C217" s="213"/>
      <c r="D217" s="213"/>
      <c r="E217" s="213"/>
      <c r="F217" s="213"/>
      <c r="G217" s="213"/>
      <c r="H217" s="213"/>
      <c r="I217" s="213"/>
      <c r="J217" s="213"/>
      <c r="K217" s="213"/>
      <c r="L217" s="213"/>
      <c r="M217" s="213"/>
      <c r="N217" s="213"/>
      <c r="O217" s="213"/>
      <c r="P217" s="213"/>
      <c r="Q217" s="213"/>
      <c r="R217" s="213"/>
    </row>
    <row r="218" spans="1:18" x14ac:dyDescent="0.25">
      <c r="A218" s="213"/>
      <c r="B218" s="213"/>
      <c r="C218" s="213"/>
      <c r="D218" s="213"/>
      <c r="E218" s="213"/>
      <c r="F218" s="213"/>
      <c r="G218" s="213"/>
      <c r="H218" s="213"/>
      <c r="I218" s="213"/>
      <c r="J218" s="213"/>
      <c r="K218" s="213"/>
      <c r="L218" s="213"/>
      <c r="M218" s="213"/>
      <c r="N218" s="213"/>
      <c r="O218" s="213"/>
      <c r="P218" s="213"/>
      <c r="Q218" s="213"/>
      <c r="R218" s="213"/>
    </row>
    <row r="219" spans="1:18" x14ac:dyDescent="0.25">
      <c r="A219" s="213"/>
      <c r="B219" s="213"/>
      <c r="C219" s="213"/>
      <c r="D219" s="213"/>
      <c r="E219" s="213"/>
      <c r="F219" s="213"/>
      <c r="G219" s="213"/>
      <c r="H219" s="213"/>
      <c r="I219" s="213"/>
      <c r="J219" s="213"/>
      <c r="K219" s="213"/>
      <c r="L219" s="213"/>
      <c r="M219" s="213"/>
      <c r="N219" s="213"/>
      <c r="O219" s="213"/>
      <c r="P219" s="213"/>
      <c r="Q219" s="213"/>
      <c r="R219" s="213"/>
    </row>
    <row r="220" spans="1:18" x14ac:dyDescent="0.25">
      <c r="A220" s="213"/>
      <c r="B220" s="213"/>
      <c r="C220" s="213"/>
      <c r="D220" s="213"/>
      <c r="E220" s="213"/>
      <c r="F220" s="213"/>
      <c r="G220" s="213"/>
      <c r="H220" s="213"/>
      <c r="I220" s="213"/>
      <c r="J220" s="213"/>
      <c r="K220" s="213"/>
      <c r="L220" s="213"/>
      <c r="M220" s="213"/>
      <c r="N220" s="213"/>
      <c r="O220" s="213"/>
      <c r="P220" s="213"/>
      <c r="Q220" s="213"/>
      <c r="R220" s="213"/>
    </row>
    <row r="221" spans="1:18" x14ac:dyDescent="0.25">
      <c r="A221" s="213"/>
      <c r="B221" s="213"/>
      <c r="C221" s="213"/>
      <c r="D221" s="213"/>
      <c r="E221" s="213"/>
      <c r="F221" s="213"/>
      <c r="G221" s="213"/>
      <c r="H221" s="213"/>
      <c r="I221" s="213"/>
      <c r="J221" s="213"/>
      <c r="K221" s="213"/>
      <c r="L221" s="213"/>
      <c r="M221" s="213"/>
      <c r="N221" s="213"/>
      <c r="O221" s="213"/>
      <c r="P221" s="213"/>
      <c r="Q221" s="213"/>
      <c r="R221" s="213"/>
    </row>
    <row r="222" spans="1:18" x14ac:dyDescent="0.25">
      <c r="A222" s="213"/>
      <c r="B222" s="213"/>
      <c r="C222" s="213"/>
      <c r="D222" s="213"/>
      <c r="E222" s="213"/>
      <c r="F222" s="213"/>
      <c r="G222" s="213"/>
      <c r="H222" s="213"/>
      <c r="I222" s="213"/>
      <c r="J222" s="213"/>
      <c r="K222" s="213"/>
      <c r="L222" s="213"/>
      <c r="M222" s="213"/>
      <c r="N222" s="213"/>
      <c r="O222" s="213"/>
      <c r="P222" s="213"/>
      <c r="Q222" s="213"/>
      <c r="R222" s="213"/>
    </row>
    <row r="223" spans="1:18" x14ac:dyDescent="0.25">
      <c r="A223" s="213"/>
      <c r="B223" s="213"/>
      <c r="C223" s="213"/>
      <c r="D223" s="213"/>
      <c r="E223" s="213"/>
      <c r="F223" s="213"/>
      <c r="G223" s="213"/>
      <c r="H223" s="213"/>
      <c r="I223" s="213"/>
      <c r="J223" s="213"/>
      <c r="K223" s="213"/>
      <c r="L223" s="213"/>
      <c r="M223" s="213"/>
      <c r="N223" s="213"/>
      <c r="O223" s="213"/>
      <c r="P223" s="213"/>
      <c r="Q223" s="213"/>
      <c r="R223" s="213"/>
    </row>
    <row r="224" spans="1:18" x14ac:dyDescent="0.25">
      <c r="A224" s="213"/>
      <c r="B224" s="213"/>
      <c r="C224" s="213"/>
      <c r="D224" s="213"/>
      <c r="E224" s="213"/>
      <c r="F224" s="213"/>
      <c r="G224" s="213"/>
      <c r="H224" s="213"/>
      <c r="I224" s="213"/>
      <c r="J224" s="213"/>
      <c r="K224" s="213"/>
      <c r="L224" s="213"/>
      <c r="M224" s="213"/>
      <c r="N224" s="213"/>
      <c r="O224" s="213"/>
      <c r="P224" s="213"/>
      <c r="Q224" s="213"/>
      <c r="R224" s="213"/>
    </row>
    <row r="225" spans="1:18" x14ac:dyDescent="0.25">
      <c r="A225" s="213"/>
      <c r="B225" s="213"/>
      <c r="C225" s="213"/>
      <c r="D225" s="213"/>
      <c r="E225" s="213"/>
      <c r="F225" s="213"/>
      <c r="G225" s="213"/>
      <c r="H225" s="213"/>
      <c r="I225" s="213"/>
      <c r="J225" s="213"/>
      <c r="K225" s="213"/>
      <c r="L225" s="213"/>
      <c r="M225" s="213"/>
      <c r="N225" s="213"/>
      <c r="O225" s="213"/>
      <c r="P225" s="213"/>
      <c r="Q225" s="213"/>
      <c r="R225" s="213"/>
    </row>
    <row r="226" spans="1:18" x14ac:dyDescent="0.25">
      <c r="A226" s="213"/>
      <c r="B226" s="213"/>
      <c r="C226" s="213"/>
      <c r="D226" s="213"/>
      <c r="E226" s="213"/>
      <c r="F226" s="213"/>
      <c r="G226" s="213"/>
      <c r="H226" s="213"/>
      <c r="I226" s="213"/>
      <c r="J226" s="213"/>
      <c r="K226" s="213"/>
      <c r="L226" s="213"/>
      <c r="M226" s="213"/>
      <c r="N226" s="213"/>
      <c r="O226" s="213"/>
      <c r="P226" s="213"/>
      <c r="Q226" s="213"/>
      <c r="R226" s="213"/>
    </row>
    <row r="227" spans="1:18" x14ac:dyDescent="0.25">
      <c r="A227" s="213"/>
      <c r="B227" s="213"/>
      <c r="C227" s="213"/>
      <c r="D227" s="213"/>
      <c r="E227" s="213"/>
      <c r="F227" s="213"/>
      <c r="G227" s="213"/>
      <c r="H227" s="213"/>
      <c r="I227" s="213"/>
      <c r="J227" s="213"/>
      <c r="K227" s="213"/>
      <c r="L227" s="213"/>
      <c r="M227" s="213"/>
      <c r="N227" s="213"/>
      <c r="O227" s="213"/>
      <c r="P227" s="213"/>
      <c r="Q227" s="213"/>
      <c r="R227" s="213"/>
    </row>
    <row r="228" spans="1:18" x14ac:dyDescent="0.25">
      <c r="A228" s="213"/>
      <c r="B228" s="213"/>
      <c r="C228" s="213"/>
      <c r="D228" s="213"/>
      <c r="E228" s="213"/>
      <c r="F228" s="213"/>
      <c r="G228" s="213"/>
      <c r="H228" s="213"/>
      <c r="I228" s="213"/>
      <c r="J228" s="213"/>
      <c r="K228" s="213"/>
      <c r="L228" s="213"/>
      <c r="M228" s="213"/>
      <c r="N228" s="213"/>
      <c r="O228" s="213"/>
      <c r="P228" s="213"/>
      <c r="Q228" s="213"/>
      <c r="R228" s="213"/>
    </row>
    <row r="229" spans="1:18" x14ac:dyDescent="0.25">
      <c r="A229" s="213"/>
      <c r="B229" s="213"/>
      <c r="C229" s="213"/>
      <c r="D229" s="213"/>
      <c r="E229" s="213"/>
      <c r="F229" s="213"/>
      <c r="G229" s="213"/>
      <c r="H229" s="213"/>
      <c r="I229" s="213"/>
      <c r="J229" s="213"/>
      <c r="K229" s="213"/>
      <c r="L229" s="213"/>
      <c r="M229" s="213"/>
      <c r="N229" s="213"/>
      <c r="O229" s="213"/>
      <c r="P229" s="213"/>
      <c r="Q229" s="213"/>
      <c r="R229" s="213"/>
    </row>
    <row r="230" spans="1:18" x14ac:dyDescent="0.25">
      <c r="A230" s="213"/>
      <c r="B230" s="213"/>
      <c r="C230" s="213"/>
      <c r="D230" s="213"/>
      <c r="E230" s="213"/>
      <c r="F230" s="213"/>
      <c r="G230" s="213"/>
      <c r="H230" s="213"/>
      <c r="I230" s="213"/>
      <c r="J230" s="213"/>
      <c r="K230" s="213"/>
      <c r="L230" s="213"/>
      <c r="M230" s="213"/>
      <c r="N230" s="213"/>
      <c r="O230" s="213"/>
      <c r="P230" s="213"/>
      <c r="Q230" s="213"/>
      <c r="R230" s="213"/>
    </row>
    <row r="231" spans="1:18" x14ac:dyDescent="0.25">
      <c r="A231" s="213"/>
      <c r="B231" s="213"/>
      <c r="C231" s="213"/>
      <c r="D231" s="213"/>
      <c r="E231" s="213"/>
      <c r="F231" s="213"/>
      <c r="G231" s="213"/>
      <c r="H231" s="213"/>
      <c r="I231" s="213"/>
      <c r="J231" s="213"/>
      <c r="K231" s="213"/>
      <c r="L231" s="213"/>
      <c r="M231" s="213"/>
      <c r="N231" s="213"/>
      <c r="O231" s="213"/>
      <c r="P231" s="213"/>
      <c r="Q231" s="213"/>
      <c r="R231" s="213"/>
    </row>
    <row r="232" spans="1:18" x14ac:dyDescent="0.25">
      <c r="A232" s="213"/>
      <c r="B232" s="213"/>
      <c r="C232" s="213"/>
      <c r="D232" s="213"/>
      <c r="E232" s="213"/>
      <c r="F232" s="213"/>
      <c r="G232" s="213"/>
      <c r="H232" s="213"/>
      <c r="I232" s="213"/>
      <c r="J232" s="213"/>
      <c r="K232" s="213"/>
      <c r="L232" s="213"/>
      <c r="M232" s="213"/>
      <c r="N232" s="213"/>
      <c r="O232" s="213"/>
      <c r="P232" s="213"/>
      <c r="Q232" s="213"/>
      <c r="R232" s="213"/>
    </row>
    <row r="233" spans="1:18" x14ac:dyDescent="0.25">
      <c r="A233" s="213"/>
      <c r="B233" s="213"/>
      <c r="C233" s="213"/>
      <c r="D233" s="213"/>
      <c r="E233" s="213"/>
      <c r="F233" s="213"/>
      <c r="G233" s="213"/>
      <c r="H233" s="213"/>
      <c r="I233" s="213"/>
      <c r="J233" s="213"/>
      <c r="K233" s="213"/>
      <c r="L233" s="213"/>
      <c r="M233" s="213"/>
      <c r="N233" s="213"/>
      <c r="O233" s="213"/>
      <c r="P233" s="213"/>
      <c r="Q233" s="213"/>
      <c r="R233" s="213"/>
    </row>
    <row r="234" spans="1:18" x14ac:dyDescent="0.25">
      <c r="A234" s="213"/>
      <c r="B234" s="213"/>
      <c r="C234" s="213"/>
      <c r="D234" s="213"/>
      <c r="E234" s="213"/>
      <c r="F234" s="213"/>
      <c r="G234" s="213"/>
      <c r="H234" s="213"/>
      <c r="I234" s="213"/>
      <c r="J234" s="213"/>
      <c r="K234" s="213"/>
      <c r="L234" s="213"/>
      <c r="M234" s="213"/>
      <c r="N234" s="213"/>
      <c r="O234" s="213"/>
      <c r="P234" s="213"/>
      <c r="Q234" s="213"/>
      <c r="R234" s="213"/>
    </row>
    <row r="235" spans="1:18" x14ac:dyDescent="0.25">
      <c r="A235" s="213"/>
      <c r="B235" s="213"/>
      <c r="C235" s="213"/>
      <c r="D235" s="213"/>
      <c r="E235" s="213"/>
      <c r="F235" s="213"/>
      <c r="G235" s="213"/>
      <c r="H235" s="213"/>
      <c r="I235" s="213"/>
      <c r="J235" s="213"/>
      <c r="K235" s="213"/>
      <c r="L235" s="213"/>
      <c r="M235" s="213"/>
      <c r="N235" s="213"/>
      <c r="O235" s="213"/>
      <c r="P235" s="213"/>
      <c r="Q235" s="213"/>
      <c r="R235" s="213"/>
    </row>
    <row r="236" spans="1:18" x14ac:dyDescent="0.25">
      <c r="A236" s="213"/>
      <c r="B236" s="213"/>
      <c r="C236" s="213"/>
      <c r="D236" s="213"/>
      <c r="E236" s="213"/>
      <c r="F236" s="213"/>
      <c r="G236" s="213"/>
      <c r="H236" s="213"/>
      <c r="I236" s="213"/>
      <c r="J236" s="213"/>
      <c r="K236" s="213"/>
      <c r="L236" s="213"/>
      <c r="M236" s="213"/>
      <c r="N236" s="213"/>
      <c r="O236" s="213"/>
      <c r="P236" s="213"/>
      <c r="Q236" s="213"/>
      <c r="R236" s="213"/>
    </row>
    <row r="237" spans="1:18" x14ac:dyDescent="0.25">
      <c r="A237" s="213"/>
      <c r="B237" s="213"/>
      <c r="C237" s="213"/>
      <c r="D237" s="213"/>
      <c r="E237" s="213"/>
      <c r="F237" s="213"/>
      <c r="G237" s="213"/>
      <c r="H237" s="213"/>
      <c r="I237" s="213"/>
      <c r="J237" s="213"/>
      <c r="K237" s="213"/>
      <c r="L237" s="213"/>
      <c r="M237" s="213"/>
      <c r="N237" s="213"/>
      <c r="O237" s="213"/>
      <c r="P237" s="213"/>
      <c r="Q237" s="213"/>
      <c r="R237" s="213"/>
    </row>
    <row r="238" spans="1:18" x14ac:dyDescent="0.25">
      <c r="A238" s="213"/>
      <c r="B238" s="213"/>
      <c r="C238" s="213"/>
      <c r="D238" s="213"/>
      <c r="E238" s="213"/>
      <c r="F238" s="213"/>
      <c r="G238" s="213"/>
      <c r="H238" s="213"/>
      <c r="I238" s="213"/>
      <c r="J238" s="213"/>
      <c r="K238" s="213"/>
      <c r="L238" s="213"/>
      <c r="M238" s="213"/>
      <c r="N238" s="213"/>
      <c r="O238" s="213"/>
      <c r="P238" s="213"/>
      <c r="Q238" s="213"/>
      <c r="R238" s="213"/>
    </row>
    <row r="239" spans="1:18" x14ac:dyDescent="0.25">
      <c r="A239" s="213"/>
      <c r="B239" s="213"/>
      <c r="C239" s="213"/>
      <c r="D239" s="213"/>
      <c r="E239" s="213"/>
      <c r="F239" s="213"/>
      <c r="G239" s="213"/>
      <c r="H239" s="213"/>
      <c r="I239" s="213"/>
      <c r="J239" s="213"/>
      <c r="K239" s="213"/>
      <c r="L239" s="213"/>
      <c r="M239" s="213"/>
      <c r="N239" s="213"/>
      <c r="O239" s="213"/>
      <c r="P239" s="213"/>
      <c r="Q239" s="213"/>
      <c r="R239" s="213"/>
    </row>
    <row r="240" spans="1:18" x14ac:dyDescent="0.25">
      <c r="A240" s="213"/>
      <c r="B240" s="213"/>
      <c r="C240" s="213"/>
      <c r="D240" s="213"/>
      <c r="E240" s="213"/>
      <c r="F240" s="213"/>
      <c r="G240" s="213"/>
      <c r="H240" s="213"/>
      <c r="I240" s="213"/>
      <c r="J240" s="213"/>
      <c r="K240" s="213"/>
      <c r="L240" s="213"/>
      <c r="M240" s="213"/>
      <c r="N240" s="213"/>
      <c r="O240" s="213"/>
      <c r="P240" s="213"/>
      <c r="Q240" s="213"/>
      <c r="R240" s="213"/>
    </row>
    <row r="241" spans="1:18" x14ac:dyDescent="0.25">
      <c r="A241" s="213"/>
      <c r="B241" s="213"/>
      <c r="C241" s="213"/>
      <c r="D241" s="213"/>
      <c r="E241" s="213"/>
      <c r="F241" s="213"/>
      <c r="G241" s="213"/>
      <c r="H241" s="213"/>
      <c r="I241" s="213"/>
      <c r="J241" s="213"/>
      <c r="K241" s="213"/>
      <c r="L241" s="213"/>
      <c r="M241" s="213"/>
      <c r="N241" s="213"/>
      <c r="O241" s="213"/>
      <c r="P241" s="213"/>
      <c r="Q241" s="213"/>
      <c r="R241" s="213"/>
    </row>
    <row r="242" spans="1:18" x14ac:dyDescent="0.25">
      <c r="A242" s="213"/>
      <c r="B242" s="213"/>
      <c r="C242" s="213"/>
      <c r="D242" s="213"/>
      <c r="E242" s="213"/>
      <c r="F242" s="213"/>
      <c r="G242" s="213"/>
      <c r="H242" s="213"/>
      <c r="I242" s="213"/>
      <c r="J242" s="213"/>
      <c r="K242" s="213"/>
      <c r="L242" s="213"/>
      <c r="M242" s="213"/>
      <c r="N242" s="213"/>
      <c r="O242" s="213"/>
      <c r="P242" s="213"/>
      <c r="Q242" s="213"/>
      <c r="R242" s="213"/>
    </row>
    <row r="243" spans="1:18" x14ac:dyDescent="0.25">
      <c r="A243" s="213"/>
      <c r="B243" s="213"/>
      <c r="C243" s="213"/>
      <c r="D243" s="213"/>
      <c r="E243" s="213"/>
      <c r="F243" s="213"/>
      <c r="G243" s="213"/>
      <c r="H243" s="213"/>
      <c r="I243" s="213"/>
      <c r="J243" s="213"/>
      <c r="K243" s="213"/>
      <c r="L243" s="213"/>
      <c r="M243" s="213"/>
      <c r="N243" s="213"/>
      <c r="O243" s="213"/>
      <c r="P243" s="213"/>
      <c r="Q243" s="213"/>
      <c r="R243" s="213"/>
    </row>
    <row r="244" spans="1:18" x14ac:dyDescent="0.25">
      <c r="A244" s="213"/>
      <c r="B244" s="213"/>
      <c r="C244" s="213"/>
      <c r="D244" s="213"/>
      <c r="E244" s="213"/>
      <c r="F244" s="213"/>
      <c r="G244" s="213"/>
      <c r="H244" s="213"/>
      <c r="I244" s="213"/>
      <c r="J244" s="213"/>
      <c r="K244" s="213"/>
      <c r="L244" s="213"/>
      <c r="M244" s="213"/>
      <c r="N244" s="213"/>
      <c r="O244" s="213"/>
      <c r="P244" s="213"/>
      <c r="Q244" s="213"/>
      <c r="R244" s="213"/>
    </row>
    <row r="245" spans="1:18" x14ac:dyDescent="0.25">
      <c r="A245" s="213"/>
      <c r="B245" s="213"/>
      <c r="C245" s="213"/>
      <c r="D245" s="213"/>
      <c r="E245" s="213"/>
      <c r="F245" s="213"/>
      <c r="G245" s="213"/>
      <c r="H245" s="213"/>
      <c r="I245" s="213"/>
      <c r="J245" s="213"/>
      <c r="K245" s="213"/>
      <c r="L245" s="213"/>
      <c r="M245" s="213"/>
      <c r="N245" s="213"/>
      <c r="O245" s="213"/>
      <c r="P245" s="213"/>
      <c r="Q245" s="213"/>
      <c r="R245" s="213"/>
    </row>
    <row r="246" spans="1:18" x14ac:dyDescent="0.25">
      <c r="A246" s="213"/>
      <c r="B246" s="213"/>
      <c r="C246" s="213"/>
      <c r="D246" s="213"/>
      <c r="E246" s="213"/>
      <c r="F246" s="213"/>
      <c r="G246" s="213"/>
      <c r="H246" s="213"/>
      <c r="I246" s="213"/>
      <c r="J246" s="213"/>
      <c r="K246" s="213"/>
      <c r="L246" s="213"/>
      <c r="M246" s="213"/>
      <c r="N246" s="213"/>
      <c r="O246" s="213"/>
      <c r="P246" s="213"/>
      <c r="Q246" s="213"/>
      <c r="R246" s="213"/>
    </row>
    <row r="247" spans="1:18" x14ac:dyDescent="0.25">
      <c r="A247" s="213"/>
      <c r="B247" s="213"/>
      <c r="C247" s="213"/>
      <c r="D247" s="213"/>
      <c r="E247" s="213"/>
      <c r="F247" s="213"/>
      <c r="G247" s="213"/>
      <c r="H247" s="213"/>
      <c r="I247" s="213"/>
      <c r="J247" s="213"/>
      <c r="K247" s="213"/>
      <c r="L247" s="213"/>
      <c r="M247" s="213"/>
      <c r="N247" s="213"/>
      <c r="O247" s="213"/>
      <c r="P247" s="213"/>
      <c r="Q247" s="213"/>
      <c r="R247" s="213"/>
    </row>
    <row r="248" spans="1:18" x14ac:dyDescent="0.25">
      <c r="A248" s="213"/>
      <c r="B248" s="213"/>
      <c r="C248" s="213"/>
      <c r="D248" s="213"/>
      <c r="E248" s="213"/>
      <c r="F248" s="213"/>
      <c r="G248" s="213"/>
      <c r="H248" s="213"/>
      <c r="I248" s="213"/>
      <c r="J248" s="213"/>
      <c r="K248" s="213"/>
      <c r="L248" s="213"/>
      <c r="M248" s="213"/>
      <c r="N248" s="213"/>
      <c r="O248" s="213"/>
      <c r="P248" s="213"/>
      <c r="Q248" s="213"/>
      <c r="R248" s="213"/>
    </row>
    <row r="249" spans="1:18" x14ac:dyDescent="0.25">
      <c r="A249" s="213"/>
      <c r="B249" s="213"/>
      <c r="C249" s="213"/>
      <c r="D249" s="213"/>
      <c r="E249" s="213"/>
      <c r="F249" s="213"/>
      <c r="G249" s="213"/>
      <c r="H249" s="213"/>
      <c r="I249" s="213"/>
      <c r="J249" s="213"/>
      <c r="K249" s="213"/>
      <c r="L249" s="213"/>
      <c r="M249" s="213"/>
      <c r="N249" s="213"/>
      <c r="O249" s="213"/>
      <c r="P249" s="213"/>
      <c r="Q249" s="213"/>
      <c r="R249" s="213"/>
    </row>
    <row r="250" spans="1:18" x14ac:dyDescent="0.25">
      <c r="A250" s="213"/>
      <c r="B250" s="213"/>
      <c r="C250" s="213"/>
      <c r="D250" s="213"/>
      <c r="E250" s="213"/>
      <c r="F250" s="213"/>
      <c r="G250" s="213"/>
      <c r="H250" s="213"/>
      <c r="I250" s="213"/>
      <c r="J250" s="213"/>
      <c r="K250" s="213"/>
      <c r="L250" s="213"/>
      <c r="M250" s="213"/>
      <c r="N250" s="213"/>
      <c r="O250" s="213"/>
      <c r="P250" s="213"/>
      <c r="Q250" s="213"/>
      <c r="R250" s="213"/>
    </row>
    <row r="251" spans="1:18" x14ac:dyDescent="0.25">
      <c r="A251" s="213"/>
      <c r="B251" s="213"/>
      <c r="C251" s="213"/>
      <c r="D251" s="213"/>
      <c r="E251" s="213"/>
      <c r="F251" s="213"/>
      <c r="G251" s="213"/>
      <c r="H251" s="213"/>
      <c r="I251" s="213"/>
      <c r="J251" s="213"/>
      <c r="K251" s="213"/>
      <c r="L251" s="213"/>
      <c r="M251" s="213"/>
      <c r="N251" s="213"/>
      <c r="O251" s="213"/>
      <c r="P251" s="213"/>
      <c r="Q251" s="213"/>
      <c r="R251" s="213"/>
    </row>
    <row r="252" spans="1:18" x14ac:dyDescent="0.25">
      <c r="A252" s="213"/>
      <c r="B252" s="213"/>
      <c r="C252" s="213"/>
      <c r="D252" s="213"/>
      <c r="E252" s="213"/>
      <c r="F252" s="213"/>
      <c r="G252" s="213"/>
      <c r="H252" s="213"/>
      <c r="I252" s="213"/>
      <c r="J252" s="213"/>
      <c r="K252" s="213"/>
      <c r="L252" s="213"/>
      <c r="M252" s="213"/>
      <c r="N252" s="213"/>
      <c r="O252" s="213"/>
      <c r="P252" s="213"/>
      <c r="Q252" s="213"/>
      <c r="R252" s="213"/>
    </row>
    <row r="253" spans="1:18" x14ac:dyDescent="0.25">
      <c r="A253" s="213"/>
      <c r="B253" s="213"/>
      <c r="C253" s="213"/>
      <c r="D253" s="213"/>
      <c r="E253" s="213"/>
      <c r="F253" s="213"/>
      <c r="G253" s="213"/>
      <c r="H253" s="213"/>
      <c r="I253" s="213"/>
      <c r="J253" s="213"/>
      <c r="K253" s="213"/>
      <c r="L253" s="213"/>
      <c r="M253" s="213"/>
      <c r="N253" s="213"/>
      <c r="O253" s="213"/>
      <c r="P253" s="213"/>
      <c r="Q253" s="213"/>
      <c r="R253" s="213"/>
    </row>
    <row r="254" spans="1:18" x14ac:dyDescent="0.25">
      <c r="A254" s="213"/>
      <c r="B254" s="213"/>
      <c r="C254" s="213"/>
      <c r="D254" s="213"/>
      <c r="E254" s="213"/>
      <c r="F254" s="213"/>
      <c r="G254" s="213"/>
      <c r="H254" s="213"/>
      <c r="I254" s="213"/>
      <c r="J254" s="213"/>
      <c r="K254" s="213"/>
      <c r="L254" s="213"/>
      <c r="M254" s="213"/>
      <c r="N254" s="213"/>
      <c r="O254" s="213"/>
      <c r="P254" s="213"/>
      <c r="Q254" s="213"/>
      <c r="R254" s="213"/>
    </row>
    <row r="255" spans="1:18" x14ac:dyDescent="0.25">
      <c r="A255" s="213"/>
      <c r="B255" s="213"/>
      <c r="C255" s="213"/>
      <c r="D255" s="213"/>
      <c r="E255" s="213"/>
      <c r="F255" s="213"/>
      <c r="G255" s="213"/>
      <c r="H255" s="213"/>
      <c r="I255" s="213"/>
      <c r="J255" s="213"/>
      <c r="K255" s="213"/>
      <c r="L255" s="213"/>
      <c r="M255" s="213"/>
      <c r="N255" s="213"/>
      <c r="O255" s="213"/>
      <c r="P255" s="213"/>
      <c r="Q255" s="213"/>
      <c r="R255" s="213"/>
    </row>
    <row r="256" spans="1:18" x14ac:dyDescent="0.25">
      <c r="A256" s="213"/>
      <c r="B256" s="213"/>
      <c r="C256" s="213"/>
      <c r="D256" s="213"/>
      <c r="E256" s="213"/>
      <c r="F256" s="213"/>
      <c r="G256" s="213"/>
      <c r="H256" s="213"/>
      <c r="I256" s="213"/>
      <c r="J256" s="213"/>
      <c r="K256" s="213"/>
      <c r="L256" s="213"/>
      <c r="M256" s="213"/>
      <c r="N256" s="213"/>
      <c r="O256" s="213"/>
      <c r="P256" s="213"/>
      <c r="Q256" s="213"/>
      <c r="R256" s="213"/>
    </row>
    <row r="257" spans="1:18" x14ac:dyDescent="0.25">
      <c r="A257" s="213"/>
      <c r="B257" s="213"/>
      <c r="C257" s="213"/>
      <c r="D257" s="213"/>
      <c r="E257" s="213"/>
      <c r="F257" s="213"/>
      <c r="G257" s="213"/>
      <c r="H257" s="213"/>
      <c r="I257" s="213"/>
      <c r="J257" s="213"/>
      <c r="K257" s="213"/>
      <c r="L257" s="213"/>
      <c r="M257" s="213"/>
      <c r="N257" s="213"/>
      <c r="O257" s="213"/>
      <c r="P257" s="213"/>
      <c r="Q257" s="213"/>
      <c r="R257" s="213"/>
    </row>
    <row r="258" spans="1:18" x14ac:dyDescent="0.25">
      <c r="A258" s="213"/>
      <c r="B258" s="213"/>
      <c r="C258" s="213"/>
      <c r="D258" s="213"/>
      <c r="E258" s="213"/>
      <c r="F258" s="213"/>
      <c r="G258" s="213"/>
      <c r="H258" s="213"/>
      <c r="I258" s="213"/>
      <c r="J258" s="213"/>
      <c r="K258" s="213"/>
      <c r="L258" s="213"/>
      <c r="M258" s="213"/>
      <c r="N258" s="213"/>
      <c r="O258" s="213"/>
      <c r="P258" s="213"/>
      <c r="Q258" s="213"/>
      <c r="R258" s="213"/>
    </row>
    <row r="259" spans="1:18" x14ac:dyDescent="0.25">
      <c r="A259" s="213"/>
      <c r="B259" s="213"/>
      <c r="C259" s="213"/>
      <c r="D259" s="213"/>
      <c r="E259" s="213"/>
      <c r="F259" s="213"/>
      <c r="G259" s="213"/>
      <c r="H259" s="213"/>
      <c r="I259" s="213"/>
      <c r="J259" s="213"/>
      <c r="K259" s="213"/>
      <c r="L259" s="213"/>
      <c r="M259" s="213"/>
      <c r="N259" s="213"/>
      <c r="O259" s="213"/>
      <c r="P259" s="213"/>
      <c r="Q259" s="213"/>
      <c r="R259" s="213"/>
    </row>
    <row r="260" spans="1:18" x14ac:dyDescent="0.25">
      <c r="A260" s="213"/>
      <c r="B260" s="213"/>
      <c r="C260" s="213"/>
      <c r="D260" s="213"/>
      <c r="E260" s="213"/>
      <c r="F260" s="213"/>
      <c r="G260" s="213"/>
      <c r="H260" s="213"/>
      <c r="I260" s="213"/>
      <c r="J260" s="213"/>
      <c r="K260" s="213"/>
      <c r="L260" s="213"/>
      <c r="M260" s="213"/>
      <c r="N260" s="213"/>
      <c r="O260" s="213"/>
      <c r="P260" s="213"/>
      <c r="Q260" s="213"/>
      <c r="R260" s="213"/>
    </row>
    <row r="261" spans="1:18" x14ac:dyDescent="0.25">
      <c r="A261" s="213"/>
      <c r="B261" s="213"/>
      <c r="C261" s="213"/>
      <c r="D261" s="213"/>
      <c r="E261" s="213"/>
      <c r="F261" s="213"/>
      <c r="G261" s="213"/>
      <c r="H261" s="213"/>
      <c r="I261" s="213"/>
      <c r="J261" s="213"/>
      <c r="K261" s="213"/>
      <c r="L261" s="213"/>
      <c r="M261" s="213"/>
      <c r="N261" s="213"/>
      <c r="O261" s="213"/>
      <c r="P261" s="213"/>
      <c r="Q261" s="213"/>
      <c r="R261" s="213"/>
    </row>
    <row r="262" spans="1:18" x14ac:dyDescent="0.25">
      <c r="A262" s="213"/>
      <c r="B262" s="213"/>
      <c r="C262" s="213"/>
      <c r="D262" s="213"/>
      <c r="E262" s="213"/>
      <c r="F262" s="213"/>
      <c r="G262" s="213"/>
      <c r="H262" s="213"/>
      <c r="I262" s="213"/>
      <c r="J262" s="213"/>
      <c r="K262" s="213"/>
      <c r="L262" s="213"/>
      <c r="M262" s="213"/>
      <c r="N262" s="213"/>
      <c r="O262" s="213"/>
      <c r="P262" s="213"/>
      <c r="Q262" s="213"/>
      <c r="R262" s="213"/>
    </row>
    <row r="263" spans="1:18" x14ac:dyDescent="0.25">
      <c r="A263" s="213"/>
      <c r="B263" s="213"/>
      <c r="C263" s="213"/>
      <c r="D263" s="213"/>
      <c r="E263" s="213"/>
      <c r="F263" s="213"/>
      <c r="G263" s="213"/>
      <c r="H263" s="213"/>
      <c r="I263" s="213"/>
      <c r="J263" s="213"/>
      <c r="K263" s="213"/>
      <c r="L263" s="213"/>
      <c r="M263" s="213"/>
      <c r="N263" s="213"/>
      <c r="O263" s="213"/>
      <c r="P263" s="213"/>
      <c r="Q263" s="213"/>
      <c r="R263" s="213"/>
    </row>
    <row r="264" spans="1:18" x14ac:dyDescent="0.25">
      <c r="A264" s="213"/>
      <c r="B264" s="213"/>
      <c r="C264" s="213"/>
      <c r="D264" s="213"/>
      <c r="E264" s="213"/>
      <c r="F264" s="213"/>
      <c r="G264" s="213"/>
      <c r="H264" s="213"/>
      <c r="I264" s="213"/>
      <c r="J264" s="213"/>
      <c r="K264" s="213"/>
      <c r="L264" s="213"/>
      <c r="M264" s="213"/>
      <c r="N264" s="213"/>
      <c r="O264" s="213"/>
      <c r="P264" s="213"/>
      <c r="Q264" s="213"/>
      <c r="R264" s="213"/>
    </row>
    <row r="265" spans="1:18" x14ac:dyDescent="0.25">
      <c r="A265" s="213"/>
      <c r="B265" s="213"/>
      <c r="C265" s="213"/>
      <c r="D265" s="213"/>
      <c r="E265" s="213"/>
      <c r="F265" s="213"/>
      <c r="G265" s="213"/>
      <c r="H265" s="213"/>
      <c r="I265" s="213"/>
      <c r="J265" s="213"/>
      <c r="K265" s="213"/>
      <c r="L265" s="213"/>
      <c r="M265" s="213"/>
      <c r="N265" s="213"/>
      <c r="O265" s="213"/>
      <c r="P265" s="213"/>
      <c r="Q265" s="213"/>
      <c r="R265" s="213"/>
    </row>
    <row r="266" spans="1:18" x14ac:dyDescent="0.25">
      <c r="A266" s="213"/>
      <c r="B266" s="213"/>
      <c r="C266" s="213"/>
      <c r="D266" s="213"/>
      <c r="E266" s="213"/>
      <c r="F266" s="213"/>
      <c r="G266" s="213"/>
      <c r="H266" s="213"/>
      <c r="I266" s="213"/>
      <c r="J266" s="213"/>
      <c r="K266" s="213"/>
      <c r="L266" s="213"/>
      <c r="M266" s="213"/>
      <c r="N266" s="213"/>
      <c r="O266" s="213"/>
      <c r="P266" s="213"/>
      <c r="Q266" s="213"/>
      <c r="R266" s="213"/>
    </row>
    <row r="267" spans="1:18" x14ac:dyDescent="0.25">
      <c r="A267" s="213"/>
      <c r="B267" s="213"/>
      <c r="C267" s="213"/>
      <c r="D267" s="213"/>
      <c r="E267" s="213"/>
      <c r="F267" s="213"/>
      <c r="G267" s="213"/>
      <c r="H267" s="213"/>
      <c r="I267" s="213"/>
      <c r="J267" s="213"/>
      <c r="K267" s="213"/>
      <c r="L267" s="213"/>
      <c r="M267" s="213"/>
      <c r="N267" s="213"/>
      <c r="O267" s="213"/>
      <c r="P267" s="213"/>
      <c r="Q267" s="213"/>
      <c r="R267" s="213"/>
    </row>
    <row r="268" spans="1:18" x14ac:dyDescent="0.25">
      <c r="A268" s="213"/>
      <c r="B268" s="213"/>
      <c r="C268" s="213"/>
      <c r="D268" s="213"/>
      <c r="E268" s="213"/>
      <c r="F268" s="213"/>
      <c r="G268" s="213"/>
      <c r="H268" s="213"/>
      <c r="I268" s="213"/>
      <c r="J268" s="213"/>
      <c r="K268" s="213"/>
      <c r="L268" s="213"/>
      <c r="M268" s="213"/>
      <c r="N268" s="213"/>
      <c r="O268" s="213"/>
      <c r="P268" s="213"/>
      <c r="Q268" s="213"/>
      <c r="R268" s="213"/>
    </row>
    <row r="269" spans="1:18" x14ac:dyDescent="0.25">
      <c r="A269" s="213"/>
      <c r="B269" s="213"/>
      <c r="C269" s="213"/>
      <c r="D269" s="213"/>
      <c r="E269" s="213"/>
      <c r="F269" s="213"/>
      <c r="G269" s="213"/>
      <c r="H269" s="213"/>
      <c r="I269" s="213"/>
      <c r="J269" s="213"/>
      <c r="K269" s="213"/>
      <c r="L269" s="213"/>
      <c r="M269" s="213"/>
      <c r="N269" s="213"/>
      <c r="O269" s="213"/>
      <c r="P269" s="213"/>
      <c r="Q269" s="213"/>
      <c r="R269" s="213"/>
    </row>
    <row r="270" spans="1:18" x14ac:dyDescent="0.25">
      <c r="A270" s="213"/>
      <c r="B270" s="213"/>
      <c r="C270" s="213"/>
      <c r="D270" s="213"/>
      <c r="E270" s="213"/>
      <c r="F270" s="213"/>
      <c r="G270" s="213"/>
      <c r="H270" s="213"/>
      <c r="I270" s="213"/>
      <c r="J270" s="213"/>
      <c r="K270" s="213"/>
      <c r="L270" s="213"/>
      <c r="M270" s="213"/>
      <c r="N270" s="213"/>
      <c r="O270" s="213"/>
      <c r="P270" s="213"/>
      <c r="Q270" s="213"/>
      <c r="R270" s="213"/>
    </row>
    <row r="271" spans="1:18" x14ac:dyDescent="0.25">
      <c r="A271" s="213"/>
      <c r="B271" s="213"/>
      <c r="C271" s="213"/>
      <c r="D271" s="213"/>
      <c r="E271" s="213"/>
      <c r="F271" s="213"/>
      <c r="G271" s="213"/>
      <c r="H271" s="213"/>
      <c r="I271" s="213"/>
      <c r="J271" s="213"/>
      <c r="K271" s="213"/>
      <c r="L271" s="213"/>
      <c r="M271" s="213"/>
      <c r="N271" s="213"/>
      <c r="O271" s="213"/>
      <c r="P271" s="213"/>
      <c r="Q271" s="213"/>
      <c r="R271" s="213"/>
    </row>
    <row r="272" spans="1:18" x14ac:dyDescent="0.25">
      <c r="A272" s="213"/>
      <c r="B272" s="213"/>
      <c r="C272" s="213"/>
      <c r="D272" s="213"/>
      <c r="E272" s="213"/>
      <c r="F272" s="213"/>
      <c r="G272" s="213"/>
      <c r="H272" s="213"/>
      <c r="I272" s="213"/>
      <c r="J272" s="213"/>
      <c r="K272" s="213"/>
      <c r="L272" s="213"/>
      <c r="M272" s="213"/>
      <c r="N272" s="213"/>
      <c r="O272" s="213"/>
      <c r="P272" s="213"/>
      <c r="Q272" s="213"/>
      <c r="R272" s="213"/>
    </row>
    <row r="273" spans="1:18" x14ac:dyDescent="0.25">
      <c r="A273" s="213"/>
      <c r="B273" s="213"/>
      <c r="C273" s="213"/>
      <c r="D273" s="213"/>
      <c r="E273" s="213"/>
      <c r="F273" s="213"/>
      <c r="G273" s="213"/>
      <c r="H273" s="213"/>
      <c r="I273" s="213"/>
      <c r="J273" s="213"/>
      <c r="K273" s="213"/>
      <c r="L273" s="213"/>
      <c r="M273" s="213"/>
      <c r="N273" s="213"/>
      <c r="O273" s="213"/>
      <c r="P273" s="213"/>
      <c r="Q273" s="213"/>
      <c r="R273" s="213"/>
    </row>
    <row r="274" spans="1:18" x14ac:dyDescent="0.25">
      <c r="A274" s="213"/>
      <c r="B274" s="213"/>
      <c r="C274" s="213"/>
      <c r="D274" s="213"/>
      <c r="E274" s="213"/>
      <c r="F274" s="213"/>
      <c r="G274" s="213"/>
      <c r="H274" s="213"/>
      <c r="I274" s="213"/>
      <c r="J274" s="213"/>
      <c r="K274" s="213"/>
      <c r="L274" s="213"/>
      <c r="M274" s="213"/>
      <c r="N274" s="213"/>
      <c r="O274" s="213"/>
      <c r="P274" s="213"/>
      <c r="Q274" s="213"/>
      <c r="R274" s="213"/>
    </row>
    <row r="275" spans="1:18" x14ac:dyDescent="0.25">
      <c r="A275" s="213"/>
      <c r="B275" s="213"/>
      <c r="C275" s="213"/>
      <c r="D275" s="213"/>
      <c r="E275" s="213"/>
      <c r="F275" s="213"/>
      <c r="G275" s="213"/>
      <c r="H275" s="213"/>
      <c r="I275" s="213"/>
      <c r="J275" s="213"/>
      <c r="K275" s="213"/>
      <c r="L275" s="213"/>
      <c r="M275" s="213"/>
      <c r="N275" s="213"/>
      <c r="O275" s="213"/>
      <c r="P275" s="213"/>
      <c r="Q275" s="213"/>
      <c r="R275" s="213"/>
    </row>
    <row r="276" spans="1:18" x14ac:dyDescent="0.25">
      <c r="A276" s="213"/>
      <c r="B276" s="213"/>
      <c r="C276" s="213"/>
      <c r="D276" s="213"/>
      <c r="E276" s="213"/>
      <c r="F276" s="213"/>
      <c r="G276" s="213"/>
      <c r="H276" s="213"/>
      <c r="I276" s="213"/>
      <c r="J276" s="213"/>
      <c r="K276" s="213"/>
      <c r="L276" s="213"/>
      <c r="M276" s="213"/>
      <c r="N276" s="213"/>
      <c r="O276" s="213"/>
      <c r="P276" s="213"/>
      <c r="Q276" s="213"/>
      <c r="R276" s="213"/>
    </row>
    <row r="277" spans="1:18" x14ac:dyDescent="0.25">
      <c r="A277" s="213"/>
      <c r="B277" s="213"/>
      <c r="C277" s="213"/>
      <c r="D277" s="213"/>
      <c r="E277" s="213"/>
      <c r="F277" s="213"/>
      <c r="G277" s="213"/>
      <c r="H277" s="213"/>
      <c r="I277" s="213"/>
      <c r="J277" s="213"/>
      <c r="K277" s="213"/>
      <c r="L277" s="213"/>
      <c r="M277" s="213"/>
      <c r="N277" s="213"/>
      <c r="O277" s="213"/>
      <c r="P277" s="213"/>
      <c r="Q277" s="213"/>
      <c r="R277" s="213"/>
    </row>
    <row r="278" spans="1:18" x14ac:dyDescent="0.25">
      <c r="A278" s="213"/>
      <c r="B278" s="213"/>
      <c r="C278" s="213"/>
      <c r="D278" s="213"/>
      <c r="E278" s="213"/>
      <c r="F278" s="213"/>
      <c r="G278" s="213"/>
      <c r="H278" s="213"/>
      <c r="I278" s="213"/>
      <c r="J278" s="213"/>
      <c r="K278" s="213"/>
      <c r="L278" s="213"/>
      <c r="M278" s="213"/>
      <c r="N278" s="213"/>
      <c r="O278" s="213"/>
      <c r="P278" s="213"/>
      <c r="Q278" s="213"/>
      <c r="R278" s="213"/>
    </row>
    <row r="279" spans="1:18" x14ac:dyDescent="0.25">
      <c r="A279" s="213"/>
      <c r="B279" s="213"/>
      <c r="C279" s="213"/>
      <c r="D279" s="213"/>
      <c r="E279" s="213"/>
      <c r="F279" s="213"/>
      <c r="G279" s="213"/>
      <c r="H279" s="213"/>
      <c r="I279" s="213"/>
      <c r="J279" s="213"/>
      <c r="K279" s="213"/>
      <c r="L279" s="213"/>
      <c r="M279" s="213"/>
      <c r="N279" s="213"/>
      <c r="O279" s="213"/>
      <c r="P279" s="213"/>
      <c r="Q279" s="213"/>
      <c r="R279" s="213"/>
    </row>
    <row r="280" spans="1:18" x14ac:dyDescent="0.25">
      <c r="A280" s="213"/>
      <c r="B280" s="213"/>
      <c r="C280" s="213"/>
      <c r="D280" s="213"/>
      <c r="E280" s="213"/>
      <c r="F280" s="213"/>
      <c r="G280" s="213"/>
      <c r="H280" s="213"/>
      <c r="I280" s="213"/>
      <c r="J280" s="213"/>
      <c r="K280" s="213"/>
      <c r="L280" s="213"/>
      <c r="M280" s="213"/>
      <c r="N280" s="213"/>
      <c r="O280" s="213"/>
      <c r="P280" s="213"/>
      <c r="Q280" s="213"/>
      <c r="R280" s="213"/>
    </row>
    <row r="281" spans="1:18" x14ac:dyDescent="0.25">
      <c r="A281" s="213"/>
      <c r="B281" s="213"/>
      <c r="C281" s="213"/>
      <c r="D281" s="213"/>
      <c r="E281" s="213"/>
      <c r="F281" s="213"/>
      <c r="G281" s="213"/>
      <c r="H281" s="213"/>
      <c r="I281" s="213"/>
      <c r="J281" s="213"/>
      <c r="K281" s="213"/>
      <c r="L281" s="213"/>
      <c r="M281" s="213"/>
      <c r="N281" s="213"/>
      <c r="O281" s="213"/>
      <c r="P281" s="213"/>
      <c r="Q281" s="213"/>
      <c r="R281" s="213"/>
    </row>
    <row r="282" spans="1:18" x14ac:dyDescent="0.25">
      <c r="A282" s="213"/>
      <c r="B282" s="213"/>
      <c r="C282" s="213"/>
      <c r="D282" s="213"/>
      <c r="E282" s="213"/>
      <c r="F282" s="213"/>
      <c r="G282" s="213"/>
      <c r="H282" s="213"/>
      <c r="I282" s="213"/>
      <c r="J282" s="213"/>
      <c r="K282" s="213"/>
      <c r="L282" s="213"/>
      <c r="M282" s="213"/>
      <c r="N282" s="213"/>
      <c r="O282" s="213"/>
      <c r="P282" s="213"/>
      <c r="Q282" s="213"/>
      <c r="R282" s="213"/>
    </row>
    <row r="283" spans="1:18" x14ac:dyDescent="0.25">
      <c r="A283" s="213"/>
      <c r="B283" s="213"/>
      <c r="C283" s="213"/>
      <c r="D283" s="213"/>
      <c r="E283" s="213"/>
      <c r="F283" s="213"/>
      <c r="G283" s="213"/>
      <c r="H283" s="213"/>
      <c r="I283" s="213"/>
      <c r="J283" s="213"/>
      <c r="K283" s="213"/>
      <c r="L283" s="213"/>
      <c r="M283" s="213"/>
      <c r="N283" s="213"/>
      <c r="O283" s="213"/>
      <c r="P283" s="213"/>
      <c r="Q283" s="213"/>
      <c r="R283" s="213"/>
    </row>
    <row r="284" spans="1:18" x14ac:dyDescent="0.25">
      <c r="A284" s="213"/>
      <c r="B284" s="213"/>
      <c r="C284" s="213"/>
      <c r="D284" s="213"/>
      <c r="E284" s="213"/>
      <c r="F284" s="213"/>
      <c r="G284" s="213"/>
      <c r="H284" s="213"/>
      <c r="I284" s="213"/>
      <c r="J284" s="213"/>
      <c r="K284" s="213"/>
      <c r="L284" s="213"/>
      <c r="M284" s="213"/>
      <c r="N284" s="213"/>
      <c r="O284" s="213"/>
      <c r="P284" s="213"/>
      <c r="Q284" s="213"/>
      <c r="R284" s="213"/>
    </row>
    <row r="285" spans="1:18" x14ac:dyDescent="0.25">
      <c r="A285" s="213"/>
      <c r="B285" s="213"/>
      <c r="C285" s="213"/>
      <c r="D285" s="213"/>
      <c r="E285" s="213"/>
      <c r="F285" s="213"/>
      <c r="G285" s="213"/>
      <c r="H285" s="213"/>
      <c r="I285" s="213"/>
      <c r="J285" s="213"/>
      <c r="K285" s="213"/>
      <c r="L285" s="213"/>
      <c r="M285" s="213"/>
      <c r="N285" s="213"/>
      <c r="O285" s="213"/>
      <c r="P285" s="213"/>
      <c r="Q285" s="213"/>
      <c r="R285" s="213"/>
    </row>
    <row r="286" spans="1:18" x14ac:dyDescent="0.25">
      <c r="A286" s="213"/>
      <c r="B286" s="213"/>
      <c r="C286" s="213"/>
      <c r="D286" s="213"/>
      <c r="E286" s="213"/>
      <c r="F286" s="213"/>
      <c r="G286" s="213"/>
      <c r="H286" s="213"/>
      <c r="I286" s="213"/>
      <c r="J286" s="213"/>
      <c r="K286" s="213"/>
      <c r="L286" s="213"/>
      <c r="M286" s="213"/>
      <c r="N286" s="213"/>
      <c r="O286" s="213"/>
      <c r="P286" s="213"/>
      <c r="Q286" s="213"/>
      <c r="R286" s="213"/>
    </row>
    <row r="287" spans="1:18" x14ac:dyDescent="0.25">
      <c r="A287" s="213"/>
      <c r="B287" s="213"/>
      <c r="C287" s="213"/>
      <c r="D287" s="213"/>
      <c r="E287" s="213"/>
      <c r="F287" s="213"/>
      <c r="G287" s="213"/>
      <c r="H287" s="213"/>
      <c r="I287" s="213"/>
      <c r="J287" s="213"/>
      <c r="K287" s="213"/>
      <c r="L287" s="213"/>
      <c r="M287" s="213"/>
      <c r="N287" s="213"/>
      <c r="O287" s="213"/>
      <c r="P287" s="213"/>
      <c r="Q287" s="213"/>
      <c r="R287" s="213"/>
    </row>
    <row r="288" spans="1:18" x14ac:dyDescent="0.25">
      <c r="A288" s="213"/>
      <c r="B288" s="213"/>
      <c r="C288" s="213"/>
      <c r="D288" s="213"/>
      <c r="E288" s="213"/>
      <c r="F288" s="213"/>
      <c r="G288" s="213"/>
      <c r="H288" s="213"/>
      <c r="I288" s="213"/>
      <c r="J288" s="213"/>
      <c r="K288" s="213"/>
      <c r="L288" s="213"/>
      <c r="M288" s="213"/>
      <c r="N288" s="213"/>
      <c r="O288" s="213"/>
      <c r="P288" s="213"/>
      <c r="Q288" s="213"/>
      <c r="R288" s="213"/>
    </row>
    <row r="289" spans="1:18" x14ac:dyDescent="0.25">
      <c r="A289" s="213"/>
      <c r="B289" s="213"/>
      <c r="C289" s="213"/>
      <c r="D289" s="213"/>
      <c r="E289" s="213"/>
      <c r="F289" s="213"/>
      <c r="G289" s="213"/>
      <c r="H289" s="213"/>
      <c r="I289" s="213"/>
      <c r="J289" s="213"/>
      <c r="K289" s="213"/>
      <c r="L289" s="213"/>
      <c r="M289" s="213"/>
      <c r="N289" s="213"/>
      <c r="O289" s="213"/>
      <c r="P289" s="213"/>
      <c r="Q289" s="213"/>
      <c r="R289" s="213"/>
    </row>
    <row r="290" spans="1:18" x14ac:dyDescent="0.25">
      <c r="A290" s="213"/>
      <c r="B290" s="213"/>
      <c r="C290" s="213"/>
      <c r="D290" s="213"/>
      <c r="E290" s="213"/>
      <c r="F290" s="213"/>
      <c r="G290" s="213"/>
      <c r="H290" s="213"/>
      <c r="I290" s="213"/>
      <c r="J290" s="213"/>
      <c r="K290" s="213"/>
      <c r="L290" s="213"/>
      <c r="M290" s="213"/>
      <c r="N290" s="213"/>
      <c r="O290" s="213"/>
      <c r="P290" s="213"/>
      <c r="Q290" s="213"/>
      <c r="R290" s="213"/>
    </row>
    <row r="291" spans="1:18" x14ac:dyDescent="0.25">
      <c r="A291" s="213"/>
      <c r="B291" s="213"/>
      <c r="C291" s="213"/>
      <c r="D291" s="213"/>
      <c r="E291" s="213"/>
      <c r="F291" s="213"/>
      <c r="G291" s="213"/>
      <c r="H291" s="213"/>
      <c r="I291" s="213"/>
      <c r="J291" s="213"/>
      <c r="K291" s="213"/>
      <c r="L291" s="213"/>
      <c r="M291" s="213"/>
      <c r="N291" s="213"/>
      <c r="O291" s="213"/>
      <c r="P291" s="213"/>
      <c r="Q291" s="213"/>
      <c r="R291" s="213"/>
    </row>
    <row r="292" spans="1:18" x14ac:dyDescent="0.25">
      <c r="A292" s="213"/>
      <c r="B292" s="213"/>
      <c r="C292" s="213"/>
      <c r="D292" s="213"/>
      <c r="E292" s="213"/>
      <c r="F292" s="213"/>
      <c r="G292" s="213"/>
      <c r="H292" s="213"/>
      <c r="I292" s="213"/>
      <c r="J292" s="213"/>
      <c r="K292" s="213"/>
      <c r="L292" s="213"/>
      <c r="M292" s="213"/>
      <c r="N292" s="213"/>
      <c r="O292" s="213"/>
      <c r="P292" s="213"/>
      <c r="Q292" s="213"/>
      <c r="R292" s="213"/>
    </row>
    <row r="293" spans="1:18" x14ac:dyDescent="0.25">
      <c r="A293" s="213"/>
      <c r="B293" s="213"/>
      <c r="C293" s="213"/>
      <c r="D293" s="213"/>
      <c r="E293" s="213"/>
      <c r="F293" s="213"/>
      <c r="G293" s="213"/>
      <c r="H293" s="213"/>
      <c r="I293" s="213"/>
      <c r="J293" s="213"/>
      <c r="K293" s="213"/>
      <c r="L293" s="213"/>
      <c r="M293" s="213"/>
      <c r="N293" s="213"/>
      <c r="O293" s="213"/>
      <c r="P293" s="213"/>
      <c r="Q293" s="213"/>
      <c r="R293" s="213"/>
    </row>
    <row r="294" spans="1:18" x14ac:dyDescent="0.25">
      <c r="A294" s="213"/>
      <c r="B294" s="213"/>
      <c r="C294" s="213"/>
      <c r="D294" s="213"/>
      <c r="E294" s="213"/>
      <c r="F294" s="213"/>
      <c r="G294" s="213"/>
      <c r="H294" s="213"/>
      <c r="I294" s="213"/>
      <c r="J294" s="213"/>
      <c r="K294" s="213"/>
      <c r="L294" s="213"/>
      <c r="M294" s="213"/>
      <c r="N294" s="213"/>
      <c r="O294" s="213"/>
      <c r="P294" s="213"/>
      <c r="Q294" s="213"/>
      <c r="R294" s="213"/>
    </row>
    <row r="295" spans="1:18" x14ac:dyDescent="0.25">
      <c r="A295" s="213"/>
      <c r="B295" s="213"/>
      <c r="C295" s="213"/>
      <c r="D295" s="213"/>
      <c r="E295" s="213"/>
      <c r="F295" s="213"/>
      <c r="G295" s="213"/>
      <c r="H295" s="213"/>
      <c r="I295" s="213"/>
      <c r="J295" s="213"/>
      <c r="K295" s="213"/>
      <c r="L295" s="213"/>
      <c r="M295" s="213"/>
      <c r="N295" s="213"/>
      <c r="O295" s="213"/>
      <c r="P295" s="213"/>
      <c r="Q295" s="213"/>
      <c r="R295" s="213"/>
    </row>
    <row r="296" spans="1:18" x14ac:dyDescent="0.25">
      <c r="A296" s="213"/>
      <c r="B296" s="213"/>
      <c r="C296" s="213"/>
      <c r="D296" s="213"/>
      <c r="E296" s="213"/>
      <c r="F296" s="213"/>
      <c r="G296" s="213"/>
      <c r="H296" s="213"/>
      <c r="I296" s="213"/>
      <c r="J296" s="213"/>
      <c r="K296" s="213"/>
      <c r="L296" s="213"/>
      <c r="M296" s="213"/>
      <c r="N296" s="213"/>
      <c r="O296" s="213"/>
      <c r="P296" s="213"/>
      <c r="Q296" s="213"/>
      <c r="R296" s="213"/>
    </row>
    <row r="297" spans="1:18" x14ac:dyDescent="0.25">
      <c r="A297" s="213"/>
      <c r="B297" s="213"/>
      <c r="C297" s="213"/>
      <c r="D297" s="213"/>
      <c r="E297" s="213"/>
      <c r="F297" s="213"/>
      <c r="G297" s="213"/>
      <c r="H297" s="213"/>
      <c r="I297" s="213"/>
      <c r="J297" s="213"/>
      <c r="K297" s="213"/>
      <c r="L297" s="213"/>
      <c r="M297" s="213"/>
      <c r="N297" s="213"/>
      <c r="O297" s="213"/>
      <c r="P297" s="213"/>
      <c r="Q297" s="213"/>
      <c r="R297" s="213"/>
    </row>
    <row r="298" spans="1:18" x14ac:dyDescent="0.25">
      <c r="A298" s="213"/>
      <c r="B298" s="213"/>
      <c r="C298" s="213"/>
      <c r="D298" s="213"/>
      <c r="E298" s="213"/>
      <c r="F298" s="213"/>
      <c r="G298" s="213"/>
      <c r="H298" s="213"/>
      <c r="I298" s="213"/>
      <c r="J298" s="213"/>
      <c r="K298" s="213"/>
      <c r="L298" s="213"/>
      <c r="M298" s="213"/>
      <c r="N298" s="213"/>
      <c r="O298" s="213"/>
      <c r="P298" s="213"/>
      <c r="Q298" s="213"/>
      <c r="R298" s="213"/>
    </row>
    <row r="299" spans="1:18" x14ac:dyDescent="0.25">
      <c r="A299" s="213"/>
      <c r="B299" s="213"/>
      <c r="C299" s="213"/>
      <c r="D299" s="213"/>
      <c r="E299" s="213"/>
      <c r="F299" s="213"/>
      <c r="G299" s="213"/>
      <c r="H299" s="213"/>
      <c r="I299" s="213"/>
      <c r="J299" s="213"/>
      <c r="K299" s="213"/>
      <c r="L299" s="213"/>
      <c r="M299" s="213"/>
      <c r="N299" s="213"/>
      <c r="O299" s="213"/>
      <c r="P299" s="213"/>
      <c r="Q299" s="213"/>
      <c r="R299" s="213"/>
    </row>
    <row r="300" spans="1:18" x14ac:dyDescent="0.25">
      <c r="A300" s="213"/>
      <c r="B300" s="213"/>
      <c r="C300" s="213"/>
      <c r="D300" s="213"/>
      <c r="E300" s="213"/>
      <c r="F300" s="213"/>
      <c r="G300" s="213"/>
      <c r="H300" s="213"/>
      <c r="I300" s="213"/>
      <c r="J300" s="213"/>
      <c r="K300" s="213"/>
      <c r="L300" s="213"/>
      <c r="M300" s="213"/>
      <c r="N300" s="213"/>
      <c r="O300" s="213"/>
      <c r="P300" s="213"/>
      <c r="Q300" s="213"/>
      <c r="R300" s="213"/>
    </row>
    <row r="301" spans="1:18" x14ac:dyDescent="0.25">
      <c r="A301" s="213"/>
      <c r="B301" s="213"/>
      <c r="C301" s="213"/>
      <c r="D301" s="213"/>
      <c r="E301" s="213"/>
      <c r="F301" s="213"/>
      <c r="G301" s="213"/>
      <c r="H301" s="213"/>
      <c r="I301" s="213"/>
      <c r="J301" s="213"/>
      <c r="K301" s="213"/>
      <c r="L301" s="213"/>
      <c r="M301" s="213"/>
      <c r="N301" s="213"/>
      <c r="O301" s="213"/>
      <c r="P301" s="213"/>
      <c r="Q301" s="213"/>
      <c r="R301" s="213"/>
    </row>
    <row r="302" spans="1:18" x14ac:dyDescent="0.25">
      <c r="A302" s="213"/>
      <c r="B302" s="213"/>
      <c r="C302" s="213"/>
      <c r="D302" s="213"/>
      <c r="E302" s="213"/>
      <c r="F302" s="213"/>
      <c r="G302" s="213"/>
      <c r="H302" s="213"/>
      <c r="I302" s="213"/>
      <c r="J302" s="213"/>
      <c r="K302" s="213"/>
      <c r="L302" s="213"/>
      <c r="M302" s="213"/>
      <c r="N302" s="213"/>
      <c r="O302" s="213"/>
      <c r="P302" s="213"/>
      <c r="Q302" s="213"/>
      <c r="R302" s="213"/>
    </row>
    <row r="303" spans="1:18" x14ac:dyDescent="0.25">
      <c r="A303" s="213"/>
      <c r="B303" s="213"/>
      <c r="C303" s="213"/>
      <c r="D303" s="213"/>
      <c r="E303" s="213"/>
      <c r="F303" s="213"/>
      <c r="G303" s="213"/>
      <c r="H303" s="213"/>
      <c r="I303" s="213"/>
      <c r="J303" s="213"/>
      <c r="K303" s="213"/>
      <c r="L303" s="213"/>
      <c r="M303" s="213"/>
      <c r="N303" s="213"/>
      <c r="O303" s="213"/>
      <c r="P303" s="213"/>
      <c r="Q303" s="213"/>
      <c r="R303" s="213"/>
    </row>
    <row r="304" spans="1:18" x14ac:dyDescent="0.25">
      <c r="A304" s="213"/>
      <c r="B304" s="213"/>
      <c r="C304" s="213"/>
      <c r="D304" s="213"/>
      <c r="E304" s="213"/>
      <c r="F304" s="213"/>
      <c r="G304" s="213"/>
      <c r="H304" s="213"/>
      <c r="I304" s="213"/>
      <c r="J304" s="213"/>
      <c r="K304" s="213"/>
      <c r="L304" s="213"/>
      <c r="M304" s="213"/>
      <c r="N304" s="213"/>
      <c r="O304" s="213"/>
      <c r="P304" s="213"/>
      <c r="Q304" s="213"/>
      <c r="R304" s="213"/>
    </row>
    <row r="305" spans="1:18" x14ac:dyDescent="0.25">
      <c r="A305" s="213"/>
      <c r="B305" s="213"/>
      <c r="C305" s="213"/>
      <c r="D305" s="213"/>
      <c r="E305" s="213"/>
      <c r="F305" s="213"/>
      <c r="G305" s="213"/>
      <c r="H305" s="213"/>
      <c r="I305" s="213"/>
      <c r="J305" s="213"/>
      <c r="K305" s="213"/>
      <c r="L305" s="213"/>
      <c r="M305" s="213"/>
      <c r="N305" s="213"/>
      <c r="O305" s="213"/>
      <c r="P305" s="213"/>
      <c r="Q305" s="213"/>
      <c r="R305" s="213"/>
    </row>
    <row r="306" spans="1:18" x14ac:dyDescent="0.25">
      <c r="A306" s="213"/>
      <c r="B306" s="213"/>
      <c r="C306" s="213"/>
      <c r="D306" s="213"/>
      <c r="E306" s="213"/>
      <c r="F306" s="213"/>
      <c r="G306" s="213"/>
      <c r="H306" s="213"/>
      <c r="I306" s="213"/>
      <c r="J306" s="213"/>
      <c r="K306" s="213"/>
      <c r="L306" s="213"/>
      <c r="M306" s="213"/>
      <c r="N306" s="213"/>
      <c r="O306" s="213"/>
      <c r="P306" s="213"/>
      <c r="Q306" s="213"/>
      <c r="R306" s="213"/>
    </row>
    <row r="307" spans="1:18" x14ac:dyDescent="0.25">
      <c r="A307" s="213"/>
      <c r="B307" s="213"/>
      <c r="C307" s="213"/>
      <c r="D307" s="213"/>
      <c r="E307" s="213"/>
      <c r="F307" s="213"/>
      <c r="G307" s="213"/>
      <c r="H307" s="213"/>
      <c r="I307" s="213"/>
      <c r="J307" s="213"/>
      <c r="K307" s="213"/>
      <c r="L307" s="213"/>
      <c r="M307" s="213"/>
      <c r="N307" s="213"/>
      <c r="O307" s="213"/>
      <c r="P307" s="213"/>
      <c r="Q307" s="213"/>
      <c r="R307" s="213"/>
    </row>
    <row r="308" spans="1:18" x14ac:dyDescent="0.25">
      <c r="A308" s="213"/>
      <c r="B308" s="213"/>
      <c r="C308" s="213"/>
      <c r="D308" s="213"/>
      <c r="E308" s="213"/>
      <c r="F308" s="213"/>
      <c r="G308" s="213"/>
      <c r="H308" s="213"/>
      <c r="I308" s="213"/>
      <c r="J308" s="213"/>
      <c r="K308" s="213"/>
      <c r="L308" s="213"/>
      <c r="M308" s="213"/>
      <c r="N308" s="213"/>
      <c r="O308" s="213"/>
      <c r="P308" s="213"/>
      <c r="Q308" s="213"/>
      <c r="R308" s="213"/>
    </row>
    <row r="309" spans="1:18" x14ac:dyDescent="0.25">
      <c r="A309" s="213"/>
      <c r="B309" s="213"/>
      <c r="C309" s="213"/>
      <c r="D309" s="213"/>
      <c r="E309" s="213"/>
      <c r="F309" s="213"/>
      <c r="G309" s="213"/>
      <c r="H309" s="213"/>
      <c r="I309" s="213"/>
      <c r="J309" s="213"/>
      <c r="K309" s="213"/>
      <c r="L309" s="213"/>
      <c r="M309" s="213"/>
      <c r="N309" s="213"/>
      <c r="O309" s="213"/>
      <c r="P309" s="213"/>
      <c r="Q309" s="213"/>
      <c r="R309" s="213"/>
    </row>
    <row r="310" spans="1:18" x14ac:dyDescent="0.25">
      <c r="A310" s="213"/>
      <c r="B310" s="213"/>
      <c r="C310" s="213"/>
      <c r="D310" s="213"/>
      <c r="E310" s="213"/>
      <c r="F310" s="213"/>
      <c r="G310" s="213"/>
      <c r="H310" s="213"/>
      <c r="I310" s="213"/>
      <c r="J310" s="213"/>
      <c r="K310" s="213"/>
      <c r="L310" s="213"/>
      <c r="M310" s="213"/>
      <c r="N310" s="213"/>
      <c r="O310" s="213"/>
      <c r="P310" s="213"/>
      <c r="Q310" s="213"/>
      <c r="R310" s="213"/>
    </row>
    <row r="311" spans="1:18" x14ac:dyDescent="0.25">
      <c r="A311" s="213"/>
      <c r="B311" s="213"/>
      <c r="C311" s="213"/>
      <c r="D311" s="213"/>
      <c r="E311" s="213"/>
      <c r="F311" s="213"/>
      <c r="G311" s="213"/>
      <c r="H311" s="213"/>
      <c r="I311" s="213"/>
      <c r="J311" s="213"/>
      <c r="K311" s="213"/>
      <c r="L311" s="213"/>
      <c r="M311" s="213"/>
      <c r="N311" s="213"/>
      <c r="O311" s="213"/>
      <c r="P311" s="213"/>
      <c r="Q311" s="213"/>
      <c r="R311" s="213"/>
    </row>
    <row r="312" spans="1:18" x14ac:dyDescent="0.25">
      <c r="A312" s="213"/>
      <c r="B312" s="213"/>
      <c r="C312" s="213"/>
      <c r="D312" s="213"/>
      <c r="E312" s="213"/>
      <c r="F312" s="213"/>
      <c r="G312" s="213"/>
      <c r="H312" s="213"/>
      <c r="I312" s="213"/>
      <c r="J312" s="213"/>
      <c r="K312" s="213"/>
      <c r="L312" s="213"/>
      <c r="M312" s="213"/>
      <c r="N312" s="213"/>
      <c r="O312" s="213"/>
      <c r="P312" s="213"/>
      <c r="Q312" s="213"/>
      <c r="R312" s="213"/>
    </row>
    <row r="313" spans="1:18" x14ac:dyDescent="0.25">
      <c r="A313" s="213"/>
      <c r="B313" s="213"/>
      <c r="C313" s="213"/>
      <c r="D313" s="213"/>
      <c r="E313" s="213"/>
      <c r="F313" s="213"/>
      <c r="G313" s="213"/>
      <c r="H313" s="213"/>
      <c r="I313" s="213"/>
      <c r="J313" s="213"/>
      <c r="K313" s="213"/>
      <c r="L313" s="213"/>
      <c r="M313" s="213"/>
      <c r="N313" s="213"/>
      <c r="O313" s="213"/>
      <c r="P313" s="213"/>
      <c r="Q313" s="213"/>
      <c r="R313" s="213"/>
    </row>
    <row r="314" spans="1:18" x14ac:dyDescent="0.25">
      <c r="A314" s="213"/>
      <c r="B314" s="213"/>
      <c r="C314" s="213"/>
      <c r="D314" s="213"/>
      <c r="E314" s="213"/>
      <c r="F314" s="213"/>
      <c r="G314" s="213"/>
      <c r="H314" s="213"/>
      <c r="I314" s="213"/>
      <c r="J314" s="213"/>
      <c r="K314" s="213"/>
      <c r="L314" s="213"/>
      <c r="M314" s="213"/>
      <c r="N314" s="213"/>
      <c r="O314" s="213"/>
      <c r="P314" s="213"/>
      <c r="Q314" s="213"/>
      <c r="R314" s="213"/>
    </row>
    <row r="315" spans="1:18" x14ac:dyDescent="0.25">
      <c r="A315" s="213"/>
      <c r="B315" s="213"/>
      <c r="C315" s="213"/>
      <c r="D315" s="213"/>
      <c r="E315" s="213"/>
      <c r="F315" s="213"/>
      <c r="G315" s="213"/>
      <c r="H315" s="213"/>
      <c r="I315" s="213"/>
      <c r="J315" s="213"/>
      <c r="K315" s="213"/>
      <c r="L315" s="213"/>
      <c r="M315" s="213"/>
      <c r="N315" s="213"/>
      <c r="O315" s="213"/>
      <c r="P315" s="213"/>
      <c r="Q315" s="213"/>
      <c r="R315" s="213"/>
    </row>
    <row r="316" spans="1:18" x14ac:dyDescent="0.25">
      <c r="A316" s="213"/>
      <c r="B316" s="213"/>
      <c r="C316" s="213"/>
      <c r="D316" s="213"/>
      <c r="E316" s="213"/>
      <c r="F316" s="213"/>
      <c r="G316" s="213"/>
      <c r="H316" s="213"/>
      <c r="I316" s="213"/>
      <c r="J316" s="213"/>
      <c r="K316" s="213"/>
      <c r="L316" s="213"/>
      <c r="M316" s="213"/>
      <c r="N316" s="213"/>
      <c r="O316" s="213"/>
      <c r="P316" s="213"/>
      <c r="Q316" s="213"/>
      <c r="R316" s="213"/>
    </row>
    <row r="317" spans="1:18" x14ac:dyDescent="0.25">
      <c r="A317" s="213"/>
      <c r="B317" s="213"/>
      <c r="C317" s="213"/>
      <c r="D317" s="213"/>
      <c r="E317" s="213"/>
      <c r="F317" s="213"/>
      <c r="G317" s="213"/>
      <c r="H317" s="213"/>
      <c r="I317" s="213"/>
      <c r="J317" s="213"/>
      <c r="K317" s="213"/>
      <c r="L317" s="213"/>
      <c r="M317" s="213"/>
      <c r="N317" s="213"/>
      <c r="O317" s="213"/>
      <c r="P317" s="213"/>
      <c r="Q317" s="213"/>
      <c r="R317" s="213"/>
    </row>
    <row r="318" spans="1:18" x14ac:dyDescent="0.25">
      <c r="A318" s="213"/>
      <c r="B318" s="213"/>
      <c r="C318" s="213"/>
      <c r="D318" s="213"/>
      <c r="E318" s="213"/>
      <c r="F318" s="213"/>
      <c r="G318" s="213"/>
      <c r="H318" s="213"/>
      <c r="I318" s="213"/>
      <c r="J318" s="213"/>
      <c r="K318" s="213"/>
      <c r="L318" s="213"/>
      <c r="M318" s="213"/>
      <c r="N318" s="213"/>
      <c r="O318" s="213"/>
      <c r="P318" s="213"/>
      <c r="Q318" s="213"/>
      <c r="R318" s="213"/>
    </row>
    <row r="319" spans="1:18" x14ac:dyDescent="0.25">
      <c r="A319" s="213"/>
      <c r="B319" s="213"/>
      <c r="C319" s="213"/>
      <c r="D319" s="213"/>
      <c r="E319" s="213"/>
      <c r="F319" s="213"/>
      <c r="G319" s="213"/>
      <c r="H319" s="213"/>
      <c r="I319" s="213"/>
      <c r="J319" s="213"/>
      <c r="K319" s="213"/>
      <c r="L319" s="213"/>
      <c r="M319" s="213"/>
      <c r="N319" s="213"/>
      <c r="O319" s="213"/>
      <c r="P319" s="213"/>
      <c r="Q319" s="213"/>
      <c r="R319" s="213"/>
    </row>
    <row r="320" spans="1:18" x14ac:dyDescent="0.25">
      <c r="A320" s="213"/>
      <c r="B320" s="213"/>
      <c r="C320" s="213"/>
      <c r="D320" s="213"/>
      <c r="E320" s="213"/>
      <c r="F320" s="213"/>
      <c r="G320" s="213"/>
      <c r="H320" s="213"/>
      <c r="I320" s="213"/>
      <c r="J320" s="213"/>
      <c r="K320" s="213"/>
      <c r="L320" s="213"/>
      <c r="M320" s="213"/>
      <c r="N320" s="213"/>
      <c r="O320" s="213"/>
      <c r="P320" s="213"/>
      <c r="Q320" s="213"/>
      <c r="R320" s="213"/>
    </row>
    <row r="321" spans="1:18" x14ac:dyDescent="0.25">
      <c r="A321" s="213"/>
      <c r="B321" s="213"/>
      <c r="C321" s="213"/>
      <c r="D321" s="213"/>
      <c r="E321" s="213"/>
      <c r="F321" s="213"/>
      <c r="G321" s="213"/>
      <c r="H321" s="213"/>
      <c r="I321" s="213"/>
      <c r="J321" s="213"/>
      <c r="K321" s="213"/>
      <c r="L321" s="213"/>
      <c r="M321" s="213"/>
      <c r="N321" s="213"/>
      <c r="O321" s="213"/>
      <c r="P321" s="213"/>
      <c r="Q321" s="213"/>
      <c r="R321" s="213"/>
    </row>
    <row r="322" spans="1:18" x14ac:dyDescent="0.25">
      <c r="A322" s="213"/>
      <c r="B322" s="213"/>
      <c r="C322" s="213"/>
      <c r="D322" s="213"/>
      <c r="E322" s="213"/>
      <c r="F322" s="213"/>
      <c r="G322" s="213"/>
      <c r="H322" s="213"/>
      <c r="I322" s="213"/>
      <c r="J322" s="213"/>
      <c r="K322" s="213"/>
      <c r="L322" s="213"/>
      <c r="M322" s="213"/>
      <c r="N322" s="213"/>
      <c r="O322" s="213"/>
      <c r="P322" s="213"/>
      <c r="Q322" s="213"/>
      <c r="R322" s="213"/>
    </row>
    <row r="323" spans="1:18" x14ac:dyDescent="0.25">
      <c r="A323" s="213"/>
      <c r="B323" s="213"/>
      <c r="C323" s="213"/>
      <c r="D323" s="213"/>
      <c r="E323" s="213"/>
      <c r="F323" s="213"/>
      <c r="G323" s="213"/>
      <c r="H323" s="213"/>
      <c r="I323" s="213"/>
      <c r="J323" s="213"/>
      <c r="K323" s="213"/>
      <c r="L323" s="213"/>
      <c r="M323" s="213"/>
      <c r="N323" s="213"/>
      <c r="O323" s="213"/>
      <c r="P323" s="213"/>
      <c r="Q323" s="213"/>
      <c r="R323" s="213"/>
    </row>
    <row r="324" spans="1:18" x14ac:dyDescent="0.25">
      <c r="A324" s="213"/>
      <c r="B324" s="213"/>
      <c r="C324" s="213"/>
      <c r="D324" s="213"/>
      <c r="E324" s="213"/>
      <c r="F324" s="213"/>
      <c r="G324" s="213"/>
      <c r="H324" s="213"/>
      <c r="I324" s="213"/>
      <c r="J324" s="213"/>
      <c r="K324" s="213"/>
      <c r="L324" s="213"/>
      <c r="M324" s="213"/>
      <c r="N324" s="213"/>
      <c r="O324" s="213"/>
      <c r="P324" s="213"/>
      <c r="Q324" s="213"/>
      <c r="R324" s="213"/>
    </row>
    <row r="325" spans="1:18" x14ac:dyDescent="0.25">
      <c r="A325" s="213"/>
      <c r="B325" s="213"/>
      <c r="C325" s="213"/>
      <c r="D325" s="213"/>
      <c r="E325" s="213"/>
      <c r="F325" s="213"/>
      <c r="G325" s="213"/>
      <c r="H325" s="213"/>
      <c r="I325" s="213"/>
      <c r="J325" s="213"/>
      <c r="K325" s="213"/>
      <c r="L325" s="213"/>
      <c r="M325" s="213"/>
      <c r="N325" s="213"/>
      <c r="O325" s="213"/>
      <c r="P325" s="213"/>
      <c r="Q325" s="213"/>
      <c r="R325" s="213"/>
    </row>
    <row r="326" spans="1:18" x14ac:dyDescent="0.25">
      <c r="A326" s="213"/>
      <c r="B326" s="213"/>
      <c r="C326" s="213"/>
      <c r="D326" s="213"/>
      <c r="E326" s="213"/>
      <c r="F326" s="213"/>
      <c r="G326" s="213"/>
      <c r="H326" s="213"/>
      <c r="I326" s="213"/>
      <c r="J326" s="213"/>
      <c r="K326" s="213"/>
      <c r="L326" s="213"/>
      <c r="M326" s="213"/>
      <c r="N326" s="213"/>
      <c r="O326" s="213"/>
      <c r="P326" s="213"/>
      <c r="Q326" s="213"/>
      <c r="R326" s="213"/>
    </row>
    <row r="327" spans="1:18" x14ac:dyDescent="0.25">
      <c r="A327" s="213"/>
      <c r="B327" s="213"/>
      <c r="C327" s="213"/>
      <c r="D327" s="213"/>
      <c r="E327" s="213"/>
      <c r="F327" s="213"/>
      <c r="G327" s="213"/>
      <c r="H327" s="213"/>
      <c r="I327" s="213"/>
      <c r="J327" s="213"/>
      <c r="K327" s="213"/>
      <c r="L327" s="213"/>
      <c r="M327" s="213"/>
      <c r="N327" s="213"/>
      <c r="O327" s="213"/>
      <c r="P327" s="213"/>
      <c r="Q327" s="213"/>
      <c r="R327" s="213"/>
    </row>
    <row r="328" spans="1:18" x14ac:dyDescent="0.25">
      <c r="A328" s="213"/>
      <c r="B328" s="213"/>
      <c r="C328" s="213"/>
      <c r="D328" s="213"/>
      <c r="E328" s="213"/>
      <c r="F328" s="213"/>
      <c r="G328" s="213"/>
      <c r="H328" s="213"/>
      <c r="I328" s="213"/>
      <c r="J328" s="213"/>
      <c r="K328" s="213"/>
      <c r="L328" s="213"/>
      <c r="M328" s="213"/>
      <c r="N328" s="213"/>
      <c r="O328" s="213"/>
      <c r="P328" s="213"/>
      <c r="Q328" s="213"/>
      <c r="R328" s="213"/>
    </row>
    <row r="329" spans="1:18" x14ac:dyDescent="0.25">
      <c r="A329" s="213"/>
      <c r="B329" s="213"/>
      <c r="C329" s="213"/>
      <c r="D329" s="213"/>
      <c r="E329" s="213"/>
      <c r="F329" s="213"/>
      <c r="G329" s="213"/>
      <c r="H329" s="213"/>
      <c r="I329" s="213"/>
      <c r="J329" s="213"/>
      <c r="K329" s="213"/>
      <c r="L329" s="213"/>
      <c r="M329" s="213"/>
      <c r="N329" s="213"/>
      <c r="O329" s="213"/>
      <c r="P329" s="213"/>
      <c r="Q329" s="213"/>
      <c r="R329" s="213"/>
    </row>
    <row r="330" spans="1:18" x14ac:dyDescent="0.25">
      <c r="A330" s="213"/>
      <c r="B330" s="213"/>
      <c r="C330" s="213"/>
      <c r="D330" s="213"/>
      <c r="E330" s="213"/>
      <c r="F330" s="213"/>
      <c r="G330" s="213"/>
      <c r="H330" s="213"/>
      <c r="I330" s="213"/>
      <c r="J330" s="213"/>
      <c r="K330" s="213"/>
      <c r="L330" s="213"/>
      <c r="M330" s="213"/>
      <c r="N330" s="213"/>
      <c r="O330" s="213"/>
      <c r="P330" s="213"/>
      <c r="Q330" s="213"/>
      <c r="R330" s="213"/>
    </row>
    <row r="331" spans="1:18" x14ac:dyDescent="0.25">
      <c r="A331" s="213"/>
      <c r="B331" s="213"/>
      <c r="C331" s="213"/>
      <c r="D331" s="213"/>
      <c r="E331" s="213"/>
      <c r="F331" s="213"/>
      <c r="G331" s="213"/>
      <c r="H331" s="213"/>
      <c r="I331" s="213"/>
      <c r="J331" s="213"/>
      <c r="K331" s="213"/>
      <c r="L331" s="213"/>
      <c r="M331" s="213"/>
      <c r="N331" s="213"/>
      <c r="O331" s="213"/>
      <c r="P331" s="213"/>
      <c r="Q331" s="213"/>
      <c r="R331" s="213"/>
    </row>
    <row r="332" spans="1:18" x14ac:dyDescent="0.25">
      <c r="A332" s="213"/>
      <c r="B332" s="213"/>
      <c r="C332" s="213"/>
      <c r="D332" s="213"/>
      <c r="E332" s="213"/>
      <c r="F332" s="213"/>
      <c r="G332" s="213"/>
      <c r="H332" s="213"/>
      <c r="I332" s="213"/>
      <c r="J332" s="213"/>
      <c r="K332" s="213"/>
      <c r="L332" s="213"/>
      <c r="M332" s="213"/>
      <c r="N332" s="213"/>
      <c r="O332" s="213"/>
      <c r="P332" s="213"/>
      <c r="Q332" s="213"/>
      <c r="R332" s="213"/>
    </row>
    <row r="333" spans="1:18" x14ac:dyDescent="0.25">
      <c r="A333" s="213"/>
      <c r="B333" s="213"/>
      <c r="C333" s="213"/>
      <c r="D333" s="213"/>
      <c r="E333" s="213"/>
      <c r="F333" s="213"/>
      <c r="G333" s="213"/>
      <c r="H333" s="213"/>
      <c r="I333" s="213"/>
      <c r="J333" s="213"/>
      <c r="K333" s="213"/>
      <c r="L333" s="213"/>
      <c r="M333" s="213"/>
      <c r="N333" s="213"/>
      <c r="O333" s="213"/>
      <c r="P333" s="213"/>
      <c r="Q333" s="213"/>
      <c r="R333" s="213"/>
    </row>
    <row r="334" spans="1:18" x14ac:dyDescent="0.25">
      <c r="A334" s="213"/>
      <c r="B334" s="213"/>
      <c r="C334" s="213"/>
      <c r="D334" s="213"/>
      <c r="E334" s="213"/>
      <c r="F334" s="213"/>
      <c r="G334" s="213"/>
      <c r="H334" s="213"/>
      <c r="I334" s="213"/>
      <c r="J334" s="213"/>
      <c r="K334" s="213"/>
      <c r="L334" s="213"/>
      <c r="M334" s="213"/>
      <c r="N334" s="213"/>
      <c r="O334" s="213"/>
      <c r="P334" s="213"/>
      <c r="Q334" s="213"/>
      <c r="R334" s="213"/>
    </row>
    <row r="335" spans="1:18" x14ac:dyDescent="0.25">
      <c r="A335" s="213"/>
      <c r="B335" s="213"/>
      <c r="C335" s="213"/>
      <c r="D335" s="213"/>
      <c r="E335" s="213"/>
      <c r="F335" s="213"/>
      <c r="G335" s="213"/>
      <c r="H335" s="213"/>
      <c r="I335" s="213"/>
      <c r="J335" s="213"/>
      <c r="K335" s="213"/>
      <c r="L335" s="213"/>
      <c r="M335" s="213"/>
      <c r="N335" s="213"/>
      <c r="O335" s="213"/>
      <c r="P335" s="213"/>
      <c r="Q335" s="213"/>
      <c r="R335" s="213"/>
    </row>
    <row r="336" spans="1:18" x14ac:dyDescent="0.25">
      <c r="A336" s="213"/>
      <c r="B336" s="213"/>
      <c r="C336" s="213"/>
      <c r="D336" s="213"/>
      <c r="E336" s="213"/>
      <c r="F336" s="213"/>
      <c r="G336" s="213"/>
      <c r="H336" s="213"/>
      <c r="I336" s="213"/>
      <c r="J336" s="213"/>
      <c r="K336" s="213"/>
      <c r="L336" s="213"/>
      <c r="M336" s="213"/>
      <c r="N336" s="213"/>
      <c r="O336" s="213"/>
      <c r="P336" s="213"/>
      <c r="Q336" s="213"/>
      <c r="R336" s="213"/>
    </row>
    <row r="337" spans="1:18" x14ac:dyDescent="0.25">
      <c r="A337" s="213"/>
      <c r="B337" s="213"/>
      <c r="C337" s="213"/>
      <c r="D337" s="213"/>
      <c r="E337" s="213"/>
      <c r="F337" s="213"/>
      <c r="G337" s="213"/>
      <c r="H337" s="213"/>
      <c r="I337" s="213"/>
      <c r="J337" s="213"/>
      <c r="K337" s="213"/>
      <c r="L337" s="213"/>
      <c r="M337" s="213"/>
      <c r="N337" s="213"/>
      <c r="O337" s="213"/>
      <c r="P337" s="213"/>
      <c r="Q337" s="213"/>
      <c r="R337" s="213"/>
    </row>
    <row r="338" spans="1:18" x14ac:dyDescent="0.25">
      <c r="A338" s="213"/>
      <c r="B338" s="213"/>
      <c r="C338" s="213"/>
      <c r="D338" s="213"/>
      <c r="E338" s="213"/>
      <c r="F338" s="213"/>
      <c r="G338" s="213"/>
      <c r="H338" s="213"/>
      <c r="I338" s="213"/>
      <c r="J338" s="213"/>
      <c r="K338" s="213"/>
      <c r="L338" s="213"/>
      <c r="M338" s="213"/>
      <c r="N338" s="213"/>
      <c r="O338" s="213"/>
      <c r="P338" s="213"/>
      <c r="Q338" s="213"/>
      <c r="R338" s="213"/>
    </row>
    <row r="339" spans="1:18" x14ac:dyDescent="0.25">
      <c r="A339" s="213"/>
      <c r="B339" s="213"/>
      <c r="C339" s="213"/>
      <c r="D339" s="213"/>
      <c r="E339" s="213"/>
      <c r="F339" s="213"/>
      <c r="G339" s="213"/>
      <c r="H339" s="213"/>
      <c r="I339" s="213"/>
      <c r="J339" s="213"/>
      <c r="K339" s="213"/>
      <c r="L339" s="213"/>
      <c r="M339" s="213"/>
      <c r="N339" s="213"/>
      <c r="O339" s="213"/>
      <c r="P339" s="213"/>
      <c r="Q339" s="213"/>
      <c r="R339" s="213"/>
    </row>
    <row r="340" spans="1:18" x14ac:dyDescent="0.25">
      <c r="A340" s="213"/>
      <c r="B340" s="213"/>
      <c r="C340" s="213"/>
      <c r="D340" s="213"/>
      <c r="E340" s="213"/>
      <c r="F340" s="213"/>
      <c r="G340" s="213"/>
      <c r="H340" s="213"/>
      <c r="I340" s="213"/>
      <c r="J340" s="213"/>
      <c r="K340" s="213"/>
      <c r="L340" s="213"/>
      <c r="M340" s="213"/>
      <c r="N340" s="213"/>
      <c r="O340" s="213"/>
      <c r="P340" s="213"/>
      <c r="Q340" s="213"/>
      <c r="R340" s="213"/>
    </row>
    <row r="341" spans="1:18" x14ac:dyDescent="0.25">
      <c r="A341" s="213"/>
      <c r="B341" s="213"/>
      <c r="C341" s="213"/>
      <c r="D341" s="213"/>
      <c r="E341" s="213"/>
      <c r="F341" s="213"/>
      <c r="G341" s="213"/>
      <c r="H341" s="213"/>
      <c r="I341" s="213"/>
      <c r="J341" s="213"/>
      <c r="K341" s="213"/>
      <c r="L341" s="213"/>
      <c r="M341" s="213"/>
      <c r="N341" s="213"/>
      <c r="O341" s="213"/>
      <c r="P341" s="213"/>
      <c r="Q341" s="213"/>
      <c r="R341" s="213"/>
    </row>
    <row r="342" spans="1:18" x14ac:dyDescent="0.25">
      <c r="A342" s="213"/>
      <c r="B342" s="213"/>
      <c r="C342" s="213"/>
      <c r="D342" s="213"/>
      <c r="E342" s="213"/>
      <c r="F342" s="213"/>
      <c r="G342" s="213"/>
      <c r="H342" s="213"/>
      <c r="I342" s="213"/>
      <c r="J342" s="213"/>
      <c r="K342" s="213"/>
      <c r="L342" s="213"/>
      <c r="M342" s="213"/>
      <c r="N342" s="213"/>
      <c r="O342" s="213"/>
      <c r="P342" s="213"/>
      <c r="Q342" s="213"/>
      <c r="R342" s="213"/>
    </row>
    <row r="343" spans="1:18" x14ac:dyDescent="0.25">
      <c r="A343" s="213"/>
      <c r="B343" s="213"/>
      <c r="C343" s="213"/>
      <c r="D343" s="213"/>
      <c r="E343" s="213"/>
      <c r="F343" s="213"/>
      <c r="G343" s="213"/>
      <c r="H343" s="213"/>
      <c r="I343" s="213"/>
      <c r="J343" s="213"/>
      <c r="K343" s="213"/>
      <c r="L343" s="213"/>
      <c r="M343" s="213"/>
      <c r="N343" s="213"/>
      <c r="O343" s="213"/>
      <c r="P343" s="213"/>
      <c r="Q343" s="213"/>
      <c r="R343" s="213"/>
    </row>
    <row r="344" spans="1:18" x14ac:dyDescent="0.25">
      <c r="A344" s="213"/>
      <c r="B344" s="213"/>
      <c r="C344" s="213"/>
      <c r="D344" s="213"/>
      <c r="E344" s="213"/>
      <c r="F344" s="213"/>
      <c r="G344" s="213"/>
      <c r="H344" s="213"/>
      <c r="I344" s="213"/>
      <c r="J344" s="213"/>
      <c r="K344" s="213"/>
      <c r="L344" s="213"/>
      <c r="M344" s="213"/>
      <c r="N344" s="213"/>
      <c r="O344" s="213"/>
      <c r="P344" s="213"/>
      <c r="Q344" s="213"/>
      <c r="R344" s="213"/>
    </row>
    <row r="345" spans="1:18" x14ac:dyDescent="0.25">
      <c r="A345" s="213"/>
      <c r="B345" s="213"/>
      <c r="C345" s="213"/>
      <c r="D345" s="213"/>
      <c r="E345" s="213"/>
      <c r="F345" s="213"/>
      <c r="G345" s="213"/>
      <c r="H345" s="213"/>
      <c r="I345" s="213"/>
      <c r="J345" s="213"/>
      <c r="K345" s="213"/>
      <c r="L345" s="213"/>
      <c r="M345" s="213"/>
      <c r="N345" s="213"/>
      <c r="O345" s="213"/>
      <c r="P345" s="213"/>
      <c r="Q345" s="213"/>
      <c r="R345" s="213"/>
    </row>
    <row r="346" spans="1:18" x14ac:dyDescent="0.25">
      <c r="A346" s="213"/>
      <c r="B346" s="213"/>
      <c r="C346" s="213"/>
      <c r="D346" s="213"/>
      <c r="E346" s="213"/>
      <c r="F346" s="213"/>
      <c r="G346" s="213"/>
      <c r="H346" s="213"/>
      <c r="I346" s="213"/>
      <c r="J346" s="213"/>
      <c r="K346" s="213"/>
      <c r="L346" s="213"/>
      <c r="M346" s="213"/>
      <c r="N346" s="213"/>
      <c r="O346" s="213"/>
      <c r="P346" s="213"/>
      <c r="Q346" s="213"/>
      <c r="R346" s="213"/>
    </row>
    <row r="347" spans="1:18" x14ac:dyDescent="0.25">
      <c r="A347" s="213"/>
      <c r="B347" s="213"/>
      <c r="C347" s="213"/>
      <c r="D347" s="213"/>
      <c r="E347" s="213"/>
      <c r="F347" s="213"/>
      <c r="G347" s="213"/>
      <c r="H347" s="213"/>
      <c r="I347" s="213"/>
      <c r="J347" s="213"/>
      <c r="K347" s="213"/>
      <c r="L347" s="213"/>
      <c r="M347" s="213"/>
      <c r="N347" s="213"/>
      <c r="O347" s="213"/>
      <c r="P347" s="213"/>
      <c r="Q347" s="213"/>
      <c r="R347" s="213"/>
    </row>
    <row r="348" spans="1:18" x14ac:dyDescent="0.25">
      <c r="A348" s="213"/>
      <c r="B348" s="213"/>
      <c r="C348" s="213"/>
      <c r="D348" s="213"/>
      <c r="E348" s="213"/>
      <c r="F348" s="213"/>
      <c r="G348" s="213"/>
      <c r="H348" s="213"/>
      <c r="I348" s="213"/>
      <c r="J348" s="213"/>
      <c r="K348" s="213"/>
      <c r="L348" s="213"/>
      <c r="M348" s="213"/>
      <c r="N348" s="213"/>
      <c r="O348" s="213"/>
      <c r="P348" s="213"/>
      <c r="Q348" s="213"/>
      <c r="R348" s="213"/>
    </row>
    <row r="349" spans="1:18" x14ac:dyDescent="0.25">
      <c r="A349" s="213"/>
      <c r="B349" s="213"/>
      <c r="C349" s="213"/>
      <c r="D349" s="213"/>
      <c r="E349" s="213"/>
      <c r="F349" s="213"/>
      <c r="G349" s="213"/>
      <c r="H349" s="213"/>
      <c r="I349" s="213"/>
      <c r="J349" s="213"/>
      <c r="K349" s="213"/>
      <c r="L349" s="213"/>
      <c r="M349" s="213"/>
      <c r="N349" s="213"/>
      <c r="O349" s="213"/>
      <c r="P349" s="213"/>
      <c r="Q349" s="213"/>
      <c r="R349" s="213"/>
    </row>
    <row r="350" spans="1:18" x14ac:dyDescent="0.25">
      <c r="A350" s="213"/>
      <c r="B350" s="213"/>
      <c r="C350" s="213"/>
      <c r="D350" s="213"/>
      <c r="E350" s="213"/>
      <c r="F350" s="213"/>
      <c r="G350" s="213"/>
      <c r="H350" s="213"/>
      <c r="I350" s="213"/>
      <c r="J350" s="213"/>
      <c r="K350" s="213"/>
      <c r="L350" s="213"/>
      <c r="M350" s="213"/>
      <c r="N350" s="213"/>
      <c r="O350" s="213"/>
      <c r="P350" s="213"/>
      <c r="Q350" s="213"/>
      <c r="R350" s="213"/>
    </row>
    <row r="351" spans="1:18" x14ac:dyDescent="0.25">
      <c r="A351" s="213"/>
      <c r="B351" s="213"/>
      <c r="C351" s="213"/>
      <c r="D351" s="213"/>
      <c r="E351" s="213"/>
      <c r="F351" s="213"/>
      <c r="G351" s="213"/>
      <c r="H351" s="213"/>
      <c r="I351" s="213"/>
      <c r="J351" s="213"/>
      <c r="K351" s="213"/>
      <c r="L351" s="213"/>
      <c r="M351" s="213"/>
      <c r="N351" s="213"/>
      <c r="O351" s="213"/>
      <c r="P351" s="213"/>
      <c r="Q351" s="213"/>
      <c r="R351" s="213"/>
    </row>
    <row r="352" spans="1:18" x14ac:dyDescent="0.25">
      <c r="A352" s="213"/>
      <c r="B352" s="213"/>
      <c r="C352" s="213"/>
      <c r="D352" s="213"/>
      <c r="E352" s="213"/>
      <c r="F352" s="213"/>
      <c r="G352" s="213"/>
      <c r="H352" s="213"/>
      <c r="I352" s="213"/>
      <c r="J352" s="213"/>
      <c r="K352" s="213"/>
      <c r="L352" s="213"/>
      <c r="M352" s="213"/>
      <c r="N352" s="213"/>
      <c r="O352" s="213"/>
      <c r="P352" s="213"/>
      <c r="Q352" s="213"/>
      <c r="R352" s="213"/>
    </row>
    <row r="353" spans="1:18" x14ac:dyDescent="0.25">
      <c r="A353" s="213"/>
      <c r="B353" s="213"/>
      <c r="C353" s="213"/>
      <c r="D353" s="213"/>
      <c r="E353" s="213"/>
      <c r="F353" s="213"/>
      <c r="G353" s="213"/>
      <c r="H353" s="213"/>
      <c r="I353" s="213"/>
      <c r="J353" s="213"/>
      <c r="K353" s="213"/>
      <c r="L353" s="213"/>
      <c r="M353" s="213"/>
      <c r="N353" s="213"/>
      <c r="O353" s="213"/>
      <c r="P353" s="213"/>
      <c r="Q353" s="213"/>
      <c r="R353" s="213"/>
    </row>
    <row r="354" spans="1:18" x14ac:dyDescent="0.25">
      <c r="A354" s="213"/>
      <c r="B354" s="213"/>
      <c r="C354" s="213"/>
      <c r="D354" s="213"/>
      <c r="E354" s="213"/>
      <c r="F354" s="213"/>
      <c r="G354" s="213"/>
      <c r="H354" s="213"/>
      <c r="I354" s="213"/>
      <c r="J354" s="213"/>
      <c r="K354" s="213"/>
      <c r="L354" s="213"/>
      <c r="M354" s="213"/>
      <c r="N354" s="213"/>
      <c r="O354" s="213"/>
      <c r="P354" s="213"/>
      <c r="Q354" s="213"/>
      <c r="R354" s="213"/>
    </row>
    <row r="355" spans="1:18" x14ac:dyDescent="0.25">
      <c r="A355" s="213"/>
      <c r="B355" s="213"/>
      <c r="C355" s="213"/>
      <c r="D355" s="213"/>
      <c r="E355" s="213"/>
      <c r="F355" s="213"/>
      <c r="G355" s="213"/>
      <c r="H355" s="213"/>
      <c r="I355" s="213"/>
      <c r="J355" s="213"/>
      <c r="K355" s="213"/>
      <c r="L355" s="213"/>
      <c r="M355" s="213"/>
      <c r="N355" s="213"/>
      <c r="O355" s="213"/>
      <c r="P355" s="213"/>
      <c r="Q355" s="213"/>
      <c r="R355" s="213"/>
    </row>
    <row r="356" spans="1:18" x14ac:dyDescent="0.25">
      <c r="A356" s="213"/>
      <c r="B356" s="213"/>
      <c r="C356" s="213"/>
      <c r="D356" s="213"/>
      <c r="E356" s="213"/>
      <c r="F356" s="213"/>
      <c r="G356" s="213"/>
      <c r="H356" s="213"/>
      <c r="I356" s="213"/>
      <c r="J356" s="213"/>
      <c r="K356" s="213"/>
      <c r="L356" s="213"/>
      <c r="M356" s="213"/>
      <c r="N356" s="213"/>
      <c r="O356" s="213"/>
      <c r="P356" s="213"/>
      <c r="Q356" s="213"/>
      <c r="R356" s="213"/>
    </row>
    <row r="357" spans="1:18" x14ac:dyDescent="0.25">
      <c r="A357" s="213"/>
      <c r="B357" s="213"/>
      <c r="C357" s="213"/>
      <c r="D357" s="213"/>
      <c r="E357" s="213"/>
      <c r="F357" s="213"/>
      <c r="G357" s="213"/>
      <c r="H357" s="213"/>
      <c r="I357" s="213"/>
      <c r="J357" s="213"/>
      <c r="K357" s="213"/>
      <c r="L357" s="213"/>
      <c r="M357" s="213"/>
      <c r="N357" s="213"/>
      <c r="O357" s="213"/>
      <c r="P357" s="213"/>
      <c r="Q357" s="213"/>
      <c r="R357" s="213"/>
    </row>
    <row r="358" spans="1:18" x14ac:dyDescent="0.25">
      <c r="A358" s="213"/>
      <c r="B358" s="213"/>
      <c r="C358" s="213"/>
      <c r="D358" s="213"/>
      <c r="E358" s="213"/>
      <c r="F358" s="213"/>
      <c r="G358" s="213"/>
      <c r="H358" s="213"/>
      <c r="I358" s="213"/>
      <c r="J358" s="213"/>
      <c r="K358" s="213"/>
      <c r="L358" s="213"/>
      <c r="M358" s="213"/>
      <c r="N358" s="213"/>
      <c r="O358" s="213"/>
      <c r="P358" s="213"/>
      <c r="Q358" s="213"/>
      <c r="R358" s="213"/>
    </row>
    <row r="359" spans="1:18" x14ac:dyDescent="0.25">
      <c r="A359" s="213"/>
      <c r="B359" s="213"/>
      <c r="C359" s="213"/>
      <c r="D359" s="213"/>
      <c r="E359" s="213"/>
      <c r="F359" s="213"/>
      <c r="G359" s="213"/>
      <c r="H359" s="213"/>
      <c r="I359" s="213"/>
      <c r="J359" s="213"/>
      <c r="K359" s="213"/>
      <c r="L359" s="213"/>
      <c r="M359" s="213"/>
      <c r="N359" s="213"/>
      <c r="O359" s="213"/>
      <c r="P359" s="213"/>
      <c r="Q359" s="213"/>
      <c r="R359" s="213"/>
    </row>
    <row r="360" spans="1:18" x14ac:dyDescent="0.25">
      <c r="A360" s="213"/>
      <c r="B360" s="213"/>
      <c r="C360" s="213"/>
      <c r="D360" s="213"/>
      <c r="E360" s="213"/>
      <c r="F360" s="213"/>
      <c r="G360" s="213"/>
      <c r="H360" s="213"/>
      <c r="I360" s="213"/>
      <c r="J360" s="213"/>
      <c r="K360" s="213"/>
      <c r="L360" s="213"/>
      <c r="M360" s="213"/>
      <c r="N360" s="213"/>
      <c r="O360" s="213"/>
      <c r="P360" s="213"/>
      <c r="Q360" s="213"/>
      <c r="R360" s="213"/>
    </row>
    <row r="361" spans="1:18" x14ac:dyDescent="0.25">
      <c r="A361" s="213"/>
      <c r="B361" s="213"/>
      <c r="C361" s="213"/>
      <c r="D361" s="213"/>
      <c r="E361" s="213"/>
      <c r="F361" s="213"/>
      <c r="G361" s="213"/>
      <c r="H361" s="213"/>
      <c r="I361" s="213"/>
      <c r="J361" s="213"/>
      <c r="K361" s="213"/>
      <c r="L361" s="213"/>
      <c r="M361" s="213"/>
      <c r="N361" s="213"/>
      <c r="O361" s="213"/>
      <c r="P361" s="213"/>
      <c r="Q361" s="213"/>
      <c r="R361" s="213"/>
    </row>
    <row r="362" spans="1:18" x14ac:dyDescent="0.25">
      <c r="A362" s="213"/>
      <c r="B362" s="213"/>
      <c r="C362" s="213"/>
      <c r="D362" s="213"/>
      <c r="E362" s="213"/>
      <c r="F362" s="213"/>
      <c r="G362" s="213"/>
      <c r="H362" s="213"/>
      <c r="I362" s="213"/>
      <c r="J362" s="213"/>
      <c r="K362" s="213"/>
      <c r="L362" s="213"/>
      <c r="M362" s="213"/>
      <c r="N362" s="213"/>
      <c r="O362" s="213"/>
      <c r="P362" s="213"/>
      <c r="Q362" s="213"/>
      <c r="R362" s="213"/>
    </row>
    <row r="363" spans="1:18" x14ac:dyDescent="0.25">
      <c r="A363" s="213"/>
      <c r="B363" s="213"/>
      <c r="C363" s="213"/>
      <c r="D363" s="213"/>
      <c r="E363" s="213"/>
      <c r="F363" s="213"/>
      <c r="G363" s="213"/>
      <c r="H363" s="213"/>
      <c r="I363" s="213"/>
      <c r="J363" s="213"/>
      <c r="K363" s="213"/>
      <c r="L363" s="213"/>
      <c r="M363" s="213"/>
      <c r="N363" s="213"/>
      <c r="O363" s="213"/>
      <c r="P363" s="213"/>
      <c r="Q363" s="213"/>
      <c r="R363" s="213"/>
    </row>
    <row r="364" spans="1:18" x14ac:dyDescent="0.25">
      <c r="A364" s="213"/>
      <c r="B364" s="213"/>
      <c r="C364" s="213"/>
      <c r="D364" s="213"/>
      <c r="E364" s="213"/>
      <c r="F364" s="213"/>
      <c r="G364" s="213"/>
      <c r="H364" s="213"/>
      <c r="I364" s="213"/>
      <c r="J364" s="213"/>
      <c r="K364" s="213"/>
      <c r="L364" s="213"/>
      <c r="M364" s="213"/>
      <c r="N364" s="213"/>
      <c r="O364" s="213"/>
      <c r="P364" s="213"/>
      <c r="Q364" s="213"/>
      <c r="R364" s="213"/>
    </row>
    <row r="365" spans="1:18" x14ac:dyDescent="0.25">
      <c r="A365" s="213"/>
      <c r="B365" s="213"/>
      <c r="C365" s="213"/>
      <c r="D365" s="213"/>
      <c r="E365" s="213"/>
      <c r="F365" s="213"/>
      <c r="G365" s="213"/>
      <c r="H365" s="213"/>
      <c r="I365" s="213"/>
      <c r="J365" s="213"/>
      <c r="K365" s="213"/>
      <c r="L365" s="213"/>
      <c r="M365" s="213"/>
      <c r="N365" s="213"/>
      <c r="O365" s="213"/>
      <c r="P365" s="213"/>
      <c r="Q365" s="213"/>
      <c r="R365" s="213"/>
    </row>
    <row r="366" spans="1:18" x14ac:dyDescent="0.25">
      <c r="A366" s="213"/>
      <c r="B366" s="213"/>
      <c r="C366" s="213"/>
      <c r="D366" s="213"/>
      <c r="E366" s="213"/>
      <c r="F366" s="213"/>
      <c r="G366" s="213"/>
      <c r="H366" s="213"/>
      <c r="I366" s="213"/>
      <c r="J366" s="213"/>
      <c r="K366" s="213"/>
      <c r="L366" s="213"/>
      <c r="M366" s="213"/>
      <c r="N366" s="213"/>
      <c r="O366" s="213"/>
      <c r="P366" s="213"/>
      <c r="Q366" s="213"/>
      <c r="R366" s="213"/>
    </row>
    <row r="367" spans="1:18" x14ac:dyDescent="0.25">
      <c r="A367" s="213"/>
      <c r="B367" s="213"/>
      <c r="C367" s="213"/>
      <c r="D367" s="213"/>
      <c r="E367" s="213"/>
      <c r="F367" s="213"/>
      <c r="G367" s="213"/>
      <c r="H367" s="213"/>
      <c r="I367" s="213"/>
      <c r="J367" s="213"/>
      <c r="K367" s="213"/>
      <c r="L367" s="213"/>
      <c r="M367" s="213"/>
      <c r="N367" s="213"/>
      <c r="O367" s="213"/>
      <c r="P367" s="213"/>
      <c r="Q367" s="213"/>
      <c r="R367" s="213"/>
    </row>
    <row r="368" spans="1:18" x14ac:dyDescent="0.25">
      <c r="A368" s="213"/>
      <c r="B368" s="213"/>
      <c r="C368" s="213"/>
      <c r="D368" s="213"/>
      <c r="E368" s="213"/>
      <c r="F368" s="213"/>
      <c r="G368" s="213"/>
      <c r="H368" s="213"/>
      <c r="I368" s="213"/>
      <c r="J368" s="213"/>
      <c r="K368" s="213"/>
      <c r="L368" s="213"/>
      <c r="M368" s="213"/>
      <c r="N368" s="213"/>
      <c r="O368" s="213"/>
      <c r="P368" s="213"/>
      <c r="Q368" s="213"/>
      <c r="R368" s="213"/>
    </row>
    <row r="369" spans="1:18" x14ac:dyDescent="0.25">
      <c r="A369" s="213"/>
      <c r="B369" s="213"/>
      <c r="C369" s="213"/>
      <c r="D369" s="213"/>
      <c r="E369" s="213"/>
      <c r="F369" s="213"/>
      <c r="G369" s="213"/>
      <c r="H369" s="213"/>
      <c r="I369" s="213"/>
      <c r="J369" s="213"/>
      <c r="K369" s="213"/>
      <c r="L369" s="213"/>
      <c r="M369" s="213"/>
      <c r="N369" s="213"/>
      <c r="O369" s="213"/>
      <c r="P369" s="213"/>
      <c r="Q369" s="213"/>
      <c r="R369" s="213"/>
    </row>
    <row r="370" spans="1:18" x14ac:dyDescent="0.25">
      <c r="A370" s="213"/>
      <c r="B370" s="213"/>
      <c r="C370" s="213"/>
      <c r="D370" s="213"/>
      <c r="E370" s="213"/>
      <c r="F370" s="213"/>
      <c r="G370" s="213"/>
      <c r="H370" s="213"/>
      <c r="I370" s="213"/>
      <c r="J370" s="213"/>
      <c r="K370" s="213"/>
      <c r="L370" s="213"/>
      <c r="M370" s="213"/>
      <c r="N370" s="213"/>
      <c r="O370" s="213"/>
      <c r="P370" s="213"/>
      <c r="Q370" s="213"/>
      <c r="R370" s="213"/>
    </row>
    <row r="371" spans="1:18" x14ac:dyDescent="0.25">
      <c r="A371" s="213"/>
      <c r="B371" s="213"/>
      <c r="C371" s="213"/>
      <c r="D371" s="213"/>
      <c r="E371" s="213"/>
      <c r="F371" s="213"/>
      <c r="G371" s="213"/>
      <c r="H371" s="213"/>
      <c r="I371" s="213"/>
      <c r="J371" s="213"/>
      <c r="K371" s="213"/>
      <c r="L371" s="213"/>
      <c r="M371" s="213"/>
      <c r="N371" s="213"/>
      <c r="O371" s="213"/>
      <c r="P371" s="213"/>
      <c r="Q371" s="213"/>
      <c r="R371" s="213"/>
    </row>
    <row r="372" spans="1:18" x14ac:dyDescent="0.25">
      <c r="A372" s="213"/>
      <c r="B372" s="213"/>
      <c r="C372" s="213"/>
      <c r="D372" s="213"/>
      <c r="E372" s="213"/>
      <c r="F372" s="213"/>
      <c r="G372" s="213"/>
      <c r="H372" s="213"/>
      <c r="I372" s="213"/>
      <c r="J372" s="213"/>
      <c r="K372" s="213"/>
      <c r="L372" s="213"/>
      <c r="M372" s="213"/>
      <c r="N372" s="213"/>
      <c r="O372" s="213"/>
      <c r="P372" s="213"/>
      <c r="Q372" s="213"/>
      <c r="R372" s="213"/>
    </row>
    <row r="373" spans="1:18" x14ac:dyDescent="0.25">
      <c r="A373" s="213"/>
      <c r="B373" s="213"/>
      <c r="C373" s="213"/>
      <c r="D373" s="213"/>
      <c r="E373" s="213"/>
      <c r="F373" s="213"/>
      <c r="G373" s="213"/>
      <c r="H373" s="213"/>
      <c r="I373" s="213"/>
      <c r="J373" s="213"/>
      <c r="K373" s="213"/>
      <c r="L373" s="213"/>
      <c r="M373" s="213"/>
      <c r="N373" s="213"/>
      <c r="O373" s="213"/>
      <c r="P373" s="213"/>
      <c r="Q373" s="213"/>
      <c r="R373" s="213"/>
    </row>
    <row r="374" spans="1:18" x14ac:dyDescent="0.25">
      <c r="A374" s="213"/>
      <c r="B374" s="213"/>
      <c r="C374" s="213"/>
      <c r="D374" s="213"/>
      <c r="E374" s="213"/>
      <c r="F374" s="213"/>
      <c r="G374" s="213"/>
      <c r="H374" s="213"/>
      <c r="I374" s="213"/>
      <c r="J374" s="213"/>
      <c r="K374" s="213"/>
      <c r="L374" s="213"/>
      <c r="M374" s="213"/>
      <c r="N374" s="213"/>
      <c r="O374" s="213"/>
      <c r="P374" s="213"/>
      <c r="Q374" s="213"/>
      <c r="R374" s="213"/>
    </row>
    <row r="375" spans="1:18" x14ac:dyDescent="0.25">
      <c r="A375" s="213"/>
      <c r="B375" s="213"/>
      <c r="C375" s="213"/>
      <c r="D375" s="213"/>
      <c r="E375" s="213"/>
      <c r="F375" s="213"/>
      <c r="G375" s="213"/>
      <c r="H375" s="213"/>
      <c r="I375" s="213"/>
      <c r="J375" s="213"/>
      <c r="K375" s="213"/>
      <c r="L375" s="213"/>
      <c r="M375" s="213"/>
      <c r="N375" s="213"/>
      <c r="O375" s="213"/>
      <c r="P375" s="213"/>
      <c r="Q375" s="213"/>
      <c r="R375" s="213"/>
    </row>
    <row r="376" spans="1:18" x14ac:dyDescent="0.25">
      <c r="A376" s="213"/>
      <c r="B376" s="213"/>
      <c r="C376" s="213"/>
      <c r="D376" s="213"/>
      <c r="E376" s="213"/>
      <c r="F376" s="213"/>
      <c r="G376" s="213"/>
      <c r="H376" s="213"/>
      <c r="I376" s="213"/>
      <c r="J376" s="213"/>
      <c r="K376" s="213"/>
      <c r="L376" s="213"/>
      <c r="M376" s="213"/>
      <c r="N376" s="213"/>
      <c r="O376" s="213"/>
      <c r="P376" s="213"/>
      <c r="Q376" s="213"/>
      <c r="R376" s="213"/>
    </row>
    <row r="377" spans="1:18" x14ac:dyDescent="0.25">
      <c r="A377" s="213"/>
      <c r="B377" s="213"/>
      <c r="C377" s="213"/>
      <c r="D377" s="213"/>
      <c r="E377" s="213"/>
      <c r="F377" s="213"/>
      <c r="G377" s="213"/>
      <c r="H377" s="213"/>
      <c r="I377" s="213"/>
      <c r="J377" s="213"/>
      <c r="K377" s="213"/>
      <c r="L377" s="213"/>
      <c r="M377" s="213"/>
      <c r="N377" s="213"/>
      <c r="O377" s="213"/>
      <c r="P377" s="213"/>
      <c r="Q377" s="213"/>
      <c r="R377" s="213"/>
    </row>
    <row r="378" spans="1:18" x14ac:dyDescent="0.25">
      <c r="A378" s="213"/>
      <c r="B378" s="213"/>
      <c r="C378" s="213"/>
      <c r="D378" s="213"/>
      <c r="E378" s="213"/>
      <c r="F378" s="213"/>
      <c r="G378" s="213"/>
      <c r="H378" s="213"/>
      <c r="I378" s="213"/>
      <c r="J378" s="213"/>
      <c r="K378" s="213"/>
      <c r="L378" s="213"/>
      <c r="M378" s="213"/>
      <c r="N378" s="213"/>
      <c r="O378" s="213"/>
      <c r="P378" s="213"/>
      <c r="Q378" s="213"/>
      <c r="R378" s="213"/>
    </row>
    <row r="379" spans="1:18" x14ac:dyDescent="0.25">
      <c r="A379" s="213"/>
      <c r="B379" s="213"/>
      <c r="C379" s="213"/>
      <c r="D379" s="213"/>
      <c r="E379" s="213"/>
      <c r="F379" s="213"/>
      <c r="G379" s="213"/>
      <c r="H379" s="213"/>
      <c r="I379" s="213"/>
      <c r="J379" s="213"/>
      <c r="K379" s="213"/>
      <c r="L379" s="213"/>
      <c r="M379" s="213"/>
      <c r="N379" s="213"/>
      <c r="O379" s="213"/>
      <c r="P379" s="213"/>
      <c r="Q379" s="213"/>
      <c r="R379" s="213"/>
    </row>
    <row r="380" spans="1:18" x14ac:dyDescent="0.25">
      <c r="A380" s="213"/>
      <c r="B380" s="213"/>
      <c r="C380" s="213"/>
      <c r="D380" s="213"/>
      <c r="E380" s="213"/>
      <c r="F380" s="213"/>
      <c r="G380" s="213"/>
      <c r="H380" s="213"/>
      <c r="I380" s="213"/>
      <c r="J380" s="213"/>
      <c r="K380" s="213"/>
      <c r="L380" s="213"/>
      <c r="M380" s="213"/>
      <c r="N380" s="213"/>
      <c r="O380" s="213"/>
      <c r="P380" s="213"/>
      <c r="Q380" s="213"/>
      <c r="R380" s="213"/>
    </row>
    <row r="381" spans="1:18" x14ac:dyDescent="0.25">
      <c r="A381" s="213"/>
      <c r="B381" s="213"/>
      <c r="C381" s="213"/>
      <c r="D381" s="213"/>
      <c r="E381" s="213"/>
      <c r="F381" s="213"/>
      <c r="G381" s="213"/>
      <c r="H381" s="213"/>
      <c r="I381" s="213"/>
      <c r="J381" s="213"/>
      <c r="K381" s="213"/>
      <c r="L381" s="213"/>
      <c r="M381" s="213"/>
      <c r="N381" s="213"/>
      <c r="O381" s="213"/>
      <c r="P381" s="213"/>
      <c r="Q381" s="213"/>
      <c r="R381" s="213"/>
    </row>
    <row r="382" spans="1:18" x14ac:dyDescent="0.25">
      <c r="A382" s="213"/>
      <c r="B382" s="213"/>
      <c r="C382" s="213"/>
      <c r="D382" s="213"/>
      <c r="E382" s="213"/>
      <c r="F382" s="213"/>
      <c r="G382" s="213"/>
      <c r="H382" s="213"/>
      <c r="I382" s="213"/>
      <c r="J382" s="213"/>
      <c r="K382" s="213"/>
      <c r="L382" s="213"/>
      <c r="M382" s="213"/>
      <c r="N382" s="213"/>
      <c r="O382" s="213"/>
      <c r="P382" s="213"/>
      <c r="Q382" s="213"/>
      <c r="R382" s="213"/>
    </row>
    <row r="383" spans="1:18" x14ac:dyDescent="0.25">
      <c r="A383" s="213"/>
      <c r="B383" s="213"/>
      <c r="C383" s="213"/>
      <c r="D383" s="213"/>
      <c r="E383" s="213"/>
      <c r="F383" s="213"/>
      <c r="G383" s="213"/>
      <c r="H383" s="213"/>
      <c r="I383" s="213"/>
      <c r="J383" s="213"/>
      <c r="K383" s="213"/>
      <c r="L383" s="213"/>
      <c r="M383" s="213"/>
      <c r="N383" s="213"/>
      <c r="O383" s="213"/>
      <c r="P383" s="213"/>
      <c r="Q383" s="213"/>
      <c r="R383" s="213"/>
    </row>
    <row r="384" spans="1:18" x14ac:dyDescent="0.25">
      <c r="A384" s="213"/>
      <c r="B384" s="213"/>
      <c r="C384" s="213"/>
      <c r="D384" s="213"/>
      <c r="E384" s="213"/>
      <c r="F384" s="213"/>
      <c r="G384" s="213"/>
      <c r="H384" s="213"/>
      <c r="I384" s="213"/>
      <c r="J384" s="213"/>
      <c r="K384" s="213"/>
      <c r="L384" s="213"/>
      <c r="M384" s="213"/>
      <c r="N384" s="213"/>
      <c r="O384" s="213"/>
      <c r="P384" s="213"/>
      <c r="Q384" s="213"/>
      <c r="R384" s="213"/>
    </row>
    <row r="385" spans="1:18" x14ac:dyDescent="0.25">
      <c r="A385" s="213"/>
      <c r="B385" s="213"/>
      <c r="C385" s="213"/>
      <c r="D385" s="213"/>
      <c r="E385" s="213"/>
      <c r="F385" s="213"/>
      <c r="G385" s="213"/>
      <c r="H385" s="213"/>
      <c r="I385" s="213"/>
      <c r="J385" s="213"/>
      <c r="K385" s="213"/>
      <c r="L385" s="213"/>
      <c r="M385" s="213"/>
      <c r="N385" s="213"/>
      <c r="O385" s="213"/>
      <c r="P385" s="213"/>
      <c r="Q385" s="213"/>
      <c r="R385" s="213"/>
    </row>
    <row r="386" spans="1:18" x14ac:dyDescent="0.25">
      <c r="A386" s="213"/>
      <c r="B386" s="213"/>
      <c r="C386" s="213"/>
      <c r="D386" s="213"/>
      <c r="E386" s="213"/>
      <c r="F386" s="213"/>
      <c r="G386" s="213"/>
      <c r="H386" s="213"/>
      <c r="I386" s="213"/>
      <c r="J386" s="213"/>
      <c r="K386" s="213"/>
      <c r="L386" s="213"/>
      <c r="M386" s="213"/>
      <c r="N386" s="213"/>
      <c r="O386" s="213"/>
      <c r="P386" s="213"/>
      <c r="Q386" s="213"/>
      <c r="R386" s="213"/>
    </row>
    <row r="387" spans="1:18" x14ac:dyDescent="0.25">
      <c r="A387" s="213"/>
      <c r="B387" s="213"/>
      <c r="C387" s="213"/>
      <c r="D387" s="213"/>
      <c r="E387" s="213"/>
      <c r="F387" s="213"/>
      <c r="G387" s="213"/>
      <c r="H387" s="213"/>
      <c r="I387" s="213"/>
      <c r="J387" s="213"/>
      <c r="K387" s="213"/>
      <c r="L387" s="213"/>
      <c r="M387" s="213"/>
      <c r="N387" s="213"/>
      <c r="O387" s="213"/>
      <c r="P387" s="213"/>
      <c r="Q387" s="213"/>
      <c r="R387" s="213"/>
    </row>
    <row r="388" spans="1:18" x14ac:dyDescent="0.25">
      <c r="A388" s="213"/>
      <c r="B388" s="213"/>
      <c r="C388" s="213"/>
      <c r="D388" s="213"/>
      <c r="E388" s="213"/>
      <c r="F388" s="213"/>
      <c r="G388" s="213"/>
      <c r="H388" s="213"/>
      <c r="I388" s="213"/>
      <c r="J388" s="213"/>
      <c r="K388" s="213"/>
      <c r="L388" s="213"/>
      <c r="M388" s="213"/>
      <c r="N388" s="213"/>
      <c r="O388" s="213"/>
      <c r="P388" s="213"/>
      <c r="Q388" s="213"/>
      <c r="R388" s="213"/>
    </row>
    <row r="389" spans="1:18" x14ac:dyDescent="0.25">
      <c r="A389" s="213"/>
      <c r="B389" s="213"/>
      <c r="C389" s="213"/>
      <c r="D389" s="213"/>
      <c r="E389" s="213"/>
      <c r="F389" s="213"/>
      <c r="G389" s="213"/>
      <c r="H389" s="213"/>
      <c r="I389" s="213"/>
      <c r="J389" s="213"/>
      <c r="K389" s="213"/>
      <c r="L389" s="213"/>
      <c r="M389" s="213"/>
      <c r="N389" s="213"/>
      <c r="O389" s="213"/>
      <c r="P389" s="213"/>
      <c r="Q389" s="213"/>
      <c r="R389" s="213"/>
    </row>
    <row r="390" spans="1:18" x14ac:dyDescent="0.25">
      <c r="A390" s="213"/>
      <c r="B390" s="213"/>
      <c r="C390" s="213"/>
      <c r="D390" s="213"/>
      <c r="E390" s="213"/>
      <c r="F390" s="213"/>
      <c r="G390" s="213"/>
      <c r="H390" s="213"/>
      <c r="I390" s="213"/>
      <c r="J390" s="213"/>
      <c r="K390" s="213"/>
      <c r="L390" s="213"/>
      <c r="M390" s="213"/>
      <c r="N390" s="213"/>
      <c r="O390" s="213"/>
      <c r="P390" s="213"/>
      <c r="Q390" s="213"/>
      <c r="R390" s="213"/>
    </row>
    <row r="391" spans="1:18" x14ac:dyDescent="0.25">
      <c r="A391" s="213"/>
      <c r="B391" s="213"/>
      <c r="C391" s="213"/>
      <c r="D391" s="213"/>
      <c r="E391" s="213"/>
      <c r="F391" s="213"/>
      <c r="G391" s="213"/>
      <c r="H391" s="213"/>
      <c r="I391" s="213"/>
      <c r="J391" s="213"/>
      <c r="K391" s="213"/>
      <c r="L391" s="213"/>
      <c r="M391" s="213"/>
      <c r="N391" s="213"/>
      <c r="O391" s="213"/>
      <c r="P391" s="213"/>
      <c r="Q391" s="213"/>
      <c r="R391" s="213"/>
    </row>
    <row r="392" spans="1:18" x14ac:dyDescent="0.25">
      <c r="A392" s="213"/>
      <c r="B392" s="213"/>
      <c r="C392" s="213"/>
      <c r="D392" s="213"/>
      <c r="E392" s="213"/>
      <c r="F392" s="213"/>
      <c r="G392" s="213"/>
      <c r="H392" s="213"/>
      <c r="I392" s="213"/>
      <c r="J392" s="213"/>
      <c r="K392" s="213"/>
      <c r="L392" s="213"/>
      <c r="M392" s="213"/>
      <c r="N392" s="213"/>
      <c r="O392" s="213"/>
      <c r="P392" s="213"/>
      <c r="Q392" s="213"/>
      <c r="R392" s="213"/>
    </row>
    <row r="393" spans="1:18" x14ac:dyDescent="0.25">
      <c r="A393" s="213"/>
      <c r="B393" s="213"/>
      <c r="C393" s="213"/>
      <c r="D393" s="213"/>
      <c r="E393" s="213"/>
      <c r="F393" s="213"/>
      <c r="G393" s="213"/>
      <c r="H393" s="213"/>
      <c r="I393" s="213"/>
      <c r="J393" s="213"/>
      <c r="K393" s="213"/>
      <c r="L393" s="213"/>
      <c r="M393" s="213"/>
      <c r="N393" s="213"/>
      <c r="O393" s="213"/>
      <c r="P393" s="213"/>
      <c r="Q393" s="213"/>
      <c r="R393" s="213"/>
    </row>
    <row r="394" spans="1:18" x14ac:dyDescent="0.25">
      <c r="A394" s="213"/>
      <c r="B394" s="213"/>
      <c r="C394" s="213"/>
      <c r="D394" s="213"/>
      <c r="E394" s="213"/>
      <c r="F394" s="213"/>
      <c r="G394" s="213"/>
      <c r="H394" s="213"/>
      <c r="I394" s="213"/>
      <c r="J394" s="213"/>
      <c r="K394" s="213"/>
      <c r="L394" s="213"/>
      <c r="M394" s="213"/>
      <c r="N394" s="213"/>
      <c r="O394" s="213"/>
      <c r="P394" s="213"/>
      <c r="Q394" s="213"/>
      <c r="R394" s="213"/>
    </row>
    <row r="395" spans="1:18" x14ac:dyDescent="0.25">
      <c r="A395" s="213"/>
      <c r="B395" s="213"/>
      <c r="C395" s="213"/>
      <c r="D395" s="213"/>
      <c r="E395" s="213"/>
      <c r="F395" s="213"/>
      <c r="G395" s="213"/>
      <c r="H395" s="213"/>
      <c r="I395" s="213"/>
      <c r="J395" s="213"/>
      <c r="K395" s="213"/>
      <c r="L395" s="213"/>
      <c r="M395" s="213"/>
      <c r="N395" s="213"/>
      <c r="O395" s="213"/>
      <c r="P395" s="213"/>
      <c r="Q395" s="213"/>
      <c r="R395" s="213"/>
    </row>
    <row r="396" spans="1:18" x14ac:dyDescent="0.25">
      <c r="A396" s="213"/>
      <c r="B396" s="213"/>
      <c r="C396" s="213"/>
      <c r="D396" s="213"/>
      <c r="E396" s="213"/>
      <c r="F396" s="213"/>
      <c r="G396" s="213"/>
      <c r="H396" s="213"/>
      <c r="I396" s="213"/>
      <c r="J396" s="213"/>
      <c r="K396" s="213"/>
      <c r="L396" s="213"/>
      <c r="M396" s="213"/>
      <c r="N396" s="213"/>
      <c r="O396" s="213"/>
      <c r="P396" s="213"/>
      <c r="Q396" s="213"/>
      <c r="R396" s="213"/>
    </row>
    <row r="397" spans="1:18" x14ac:dyDescent="0.25">
      <c r="A397" s="213"/>
      <c r="B397" s="213"/>
      <c r="C397" s="213"/>
      <c r="D397" s="213"/>
      <c r="E397" s="213"/>
      <c r="F397" s="213"/>
      <c r="G397" s="213"/>
      <c r="H397" s="213"/>
      <c r="I397" s="213"/>
      <c r="J397" s="213"/>
      <c r="K397" s="213"/>
      <c r="L397" s="213"/>
      <c r="M397" s="213"/>
      <c r="N397" s="213"/>
      <c r="O397" s="213"/>
      <c r="P397" s="213"/>
      <c r="Q397" s="213"/>
      <c r="R397" s="213"/>
    </row>
    <row r="398" spans="1:18" x14ac:dyDescent="0.25">
      <c r="A398" s="213"/>
      <c r="B398" s="213"/>
      <c r="C398" s="213"/>
      <c r="D398" s="213"/>
      <c r="E398" s="213"/>
      <c r="F398" s="213"/>
      <c r="G398" s="213"/>
      <c r="H398" s="213"/>
      <c r="I398" s="213"/>
      <c r="J398" s="213"/>
      <c r="K398" s="213"/>
      <c r="L398" s="213"/>
      <c r="M398" s="213"/>
      <c r="N398" s="213"/>
      <c r="O398" s="213"/>
      <c r="P398" s="213"/>
      <c r="Q398" s="213"/>
      <c r="R398" s="213"/>
    </row>
    <row r="399" spans="1:18" x14ac:dyDescent="0.25">
      <c r="A399" s="213"/>
      <c r="B399" s="213"/>
      <c r="C399" s="213"/>
      <c r="D399" s="213"/>
      <c r="E399" s="213"/>
      <c r="F399" s="213"/>
      <c r="G399" s="213"/>
      <c r="H399" s="213"/>
      <c r="I399" s="213"/>
      <c r="J399" s="213"/>
      <c r="K399" s="213"/>
      <c r="L399" s="213"/>
      <c r="M399" s="213"/>
      <c r="N399" s="213"/>
      <c r="O399" s="213"/>
      <c r="P399" s="213"/>
      <c r="Q399" s="213"/>
      <c r="R399" s="213"/>
    </row>
    <row r="400" spans="1:18" x14ac:dyDescent="0.25">
      <c r="A400" s="213"/>
      <c r="B400" s="213"/>
      <c r="C400" s="213"/>
      <c r="D400" s="213"/>
      <c r="E400" s="213"/>
      <c r="F400" s="213"/>
      <c r="G400" s="213"/>
      <c r="H400" s="213"/>
      <c r="I400" s="213"/>
      <c r="J400" s="213"/>
      <c r="K400" s="213"/>
      <c r="L400" s="213"/>
      <c r="M400" s="213"/>
      <c r="N400" s="213"/>
      <c r="O400" s="213"/>
      <c r="P400" s="213"/>
      <c r="Q400" s="213"/>
      <c r="R400" s="213"/>
    </row>
    <row r="401" spans="1:18" x14ac:dyDescent="0.25">
      <c r="A401" s="213"/>
      <c r="B401" s="213"/>
      <c r="C401" s="213"/>
      <c r="D401" s="213"/>
      <c r="E401" s="213"/>
      <c r="F401" s="213"/>
      <c r="G401" s="213"/>
      <c r="H401" s="213"/>
      <c r="I401" s="213"/>
      <c r="J401" s="213"/>
      <c r="K401" s="213"/>
      <c r="L401" s="213"/>
      <c r="M401" s="213"/>
      <c r="N401" s="213"/>
      <c r="O401" s="213"/>
      <c r="P401" s="213"/>
      <c r="Q401" s="213"/>
      <c r="R401" s="213"/>
    </row>
    <row r="402" spans="1:18" x14ac:dyDescent="0.25">
      <c r="A402" s="213"/>
      <c r="B402" s="213"/>
      <c r="C402" s="213"/>
      <c r="D402" s="213"/>
      <c r="E402" s="213"/>
      <c r="F402" s="213"/>
      <c r="G402" s="213"/>
      <c r="H402" s="213"/>
      <c r="I402" s="213"/>
      <c r="J402" s="213"/>
      <c r="K402" s="213"/>
      <c r="L402" s="213"/>
      <c r="M402" s="213"/>
      <c r="N402" s="213"/>
      <c r="O402" s="213"/>
      <c r="P402" s="213"/>
      <c r="Q402" s="213"/>
      <c r="R402" s="213"/>
    </row>
    <row r="403" spans="1:18" x14ac:dyDescent="0.25">
      <c r="A403" s="213"/>
      <c r="B403" s="213"/>
      <c r="C403" s="213"/>
      <c r="D403" s="213"/>
      <c r="E403" s="213"/>
      <c r="F403" s="213"/>
      <c r="G403" s="213"/>
      <c r="H403" s="213"/>
      <c r="I403" s="213"/>
      <c r="J403" s="213"/>
      <c r="K403" s="213"/>
      <c r="L403" s="213"/>
      <c r="M403" s="213"/>
      <c r="N403" s="213"/>
      <c r="O403" s="213"/>
      <c r="P403" s="213"/>
      <c r="Q403" s="213"/>
      <c r="R403" s="213"/>
    </row>
    <row r="404" spans="1:18" x14ac:dyDescent="0.25">
      <c r="A404" s="213"/>
      <c r="B404" s="213"/>
      <c r="C404" s="213"/>
      <c r="D404" s="213"/>
      <c r="E404" s="213"/>
      <c r="F404" s="213"/>
      <c r="G404" s="213"/>
      <c r="H404" s="213"/>
      <c r="I404" s="213"/>
      <c r="J404" s="213"/>
      <c r="K404" s="213"/>
      <c r="L404" s="213"/>
      <c r="M404" s="213"/>
      <c r="N404" s="213"/>
      <c r="O404" s="213"/>
      <c r="P404" s="213"/>
      <c r="Q404" s="213"/>
      <c r="R404" s="213"/>
    </row>
    <row r="405" spans="1:18" x14ac:dyDescent="0.25">
      <c r="A405" s="213"/>
      <c r="B405" s="213"/>
      <c r="C405" s="213"/>
      <c r="D405" s="213"/>
      <c r="E405" s="213"/>
      <c r="F405" s="213"/>
      <c r="G405" s="213"/>
      <c r="H405" s="213"/>
      <c r="I405" s="213"/>
      <c r="J405" s="213"/>
      <c r="K405" s="213"/>
      <c r="L405" s="213"/>
      <c r="M405" s="213"/>
      <c r="N405" s="213"/>
      <c r="O405" s="213"/>
      <c r="P405" s="213"/>
      <c r="Q405" s="213"/>
      <c r="R405" s="213"/>
    </row>
    <row r="406" spans="1:18" x14ac:dyDescent="0.25">
      <c r="A406" s="213"/>
      <c r="B406" s="213"/>
      <c r="C406" s="213"/>
      <c r="D406" s="213"/>
      <c r="E406" s="213"/>
      <c r="F406" s="213"/>
      <c r="G406" s="213"/>
      <c r="H406" s="213"/>
      <c r="I406" s="213"/>
      <c r="J406" s="213"/>
      <c r="K406" s="213"/>
      <c r="L406" s="213"/>
      <c r="M406" s="213"/>
      <c r="N406" s="213"/>
      <c r="O406" s="213"/>
      <c r="P406" s="213"/>
      <c r="Q406" s="213"/>
      <c r="R406" s="213"/>
    </row>
    <row r="407" spans="1:18" x14ac:dyDescent="0.25">
      <c r="A407" s="213"/>
      <c r="B407" s="213"/>
      <c r="C407" s="213"/>
      <c r="D407" s="213"/>
      <c r="E407" s="213"/>
      <c r="F407" s="213"/>
      <c r="G407" s="213"/>
      <c r="H407" s="213"/>
      <c r="I407" s="213"/>
      <c r="J407" s="213"/>
      <c r="K407" s="213"/>
      <c r="L407" s="213"/>
      <c r="M407" s="213"/>
      <c r="N407" s="213"/>
      <c r="O407" s="213"/>
      <c r="P407" s="213"/>
      <c r="Q407" s="213"/>
      <c r="R407" s="213"/>
    </row>
    <row r="408" spans="1:18" x14ac:dyDescent="0.25">
      <c r="A408" s="213"/>
      <c r="B408" s="213"/>
      <c r="C408" s="213"/>
      <c r="D408" s="213"/>
      <c r="E408" s="213"/>
      <c r="F408" s="213"/>
      <c r="G408" s="213"/>
      <c r="H408" s="213"/>
      <c r="I408" s="213"/>
      <c r="J408" s="213"/>
      <c r="K408" s="213"/>
      <c r="L408" s="213"/>
      <c r="M408" s="213"/>
      <c r="N408" s="213"/>
      <c r="O408" s="213"/>
      <c r="P408" s="213"/>
      <c r="Q408" s="213"/>
      <c r="R408" s="213"/>
    </row>
    <row r="409" spans="1:18" x14ac:dyDescent="0.25">
      <c r="A409" s="213"/>
      <c r="B409" s="213"/>
      <c r="C409" s="213"/>
      <c r="D409" s="213"/>
      <c r="E409" s="213"/>
      <c r="F409" s="213"/>
      <c r="G409" s="213"/>
      <c r="H409" s="213"/>
      <c r="I409" s="213"/>
      <c r="J409" s="213"/>
      <c r="K409" s="213"/>
      <c r="L409" s="213"/>
      <c r="M409" s="213"/>
      <c r="N409" s="213"/>
      <c r="O409" s="213"/>
      <c r="P409" s="213"/>
      <c r="Q409" s="213"/>
      <c r="R409" s="213"/>
    </row>
    <row r="410" spans="1:18" x14ac:dyDescent="0.25">
      <c r="A410" s="213"/>
      <c r="B410" s="213"/>
      <c r="C410" s="213"/>
      <c r="D410" s="213"/>
      <c r="E410" s="213"/>
      <c r="F410" s="213"/>
      <c r="G410" s="213"/>
      <c r="H410" s="213"/>
      <c r="I410" s="213"/>
      <c r="J410" s="213"/>
      <c r="K410" s="213"/>
      <c r="L410" s="213"/>
      <c r="M410" s="213"/>
      <c r="N410" s="213"/>
      <c r="O410" s="213"/>
      <c r="P410" s="213"/>
      <c r="Q410" s="213"/>
      <c r="R410" s="213"/>
    </row>
    <row r="411" spans="1:18" x14ac:dyDescent="0.25">
      <c r="A411" s="213"/>
      <c r="B411" s="213"/>
      <c r="C411" s="213"/>
      <c r="D411" s="213"/>
      <c r="E411" s="213"/>
      <c r="F411" s="213"/>
      <c r="G411" s="213"/>
      <c r="H411" s="213"/>
      <c r="I411" s="213"/>
      <c r="J411" s="213"/>
      <c r="K411" s="213"/>
      <c r="L411" s="213"/>
      <c r="M411" s="213"/>
      <c r="N411" s="213"/>
      <c r="O411" s="213"/>
      <c r="P411" s="213"/>
      <c r="Q411" s="213"/>
      <c r="R411" s="213"/>
    </row>
    <row r="412" spans="1:18" x14ac:dyDescent="0.25">
      <c r="A412" s="213"/>
      <c r="B412" s="213"/>
      <c r="C412" s="213"/>
      <c r="D412" s="213"/>
      <c r="E412" s="213"/>
      <c r="F412" s="213"/>
      <c r="G412" s="213"/>
      <c r="H412" s="213"/>
      <c r="I412" s="213"/>
      <c r="J412" s="213"/>
      <c r="K412" s="213"/>
      <c r="L412" s="213"/>
      <c r="M412" s="213"/>
      <c r="N412" s="213"/>
      <c r="O412" s="213"/>
      <c r="P412" s="213"/>
      <c r="Q412" s="213"/>
      <c r="R412" s="213"/>
    </row>
    <row r="413" spans="1:18" x14ac:dyDescent="0.25">
      <c r="A413" s="213"/>
      <c r="B413" s="213"/>
      <c r="C413" s="213"/>
      <c r="D413" s="213"/>
      <c r="E413" s="213"/>
      <c r="F413" s="213"/>
      <c r="G413" s="213"/>
      <c r="H413" s="213"/>
      <c r="I413" s="213"/>
      <c r="J413" s="213"/>
      <c r="K413" s="213"/>
      <c r="L413" s="213"/>
      <c r="M413" s="213"/>
      <c r="N413" s="213"/>
      <c r="O413" s="213"/>
      <c r="P413" s="213"/>
      <c r="Q413" s="213"/>
      <c r="R413" s="213"/>
    </row>
    <row r="414" spans="1:18" x14ac:dyDescent="0.25">
      <c r="A414" s="213"/>
      <c r="B414" s="213"/>
      <c r="C414" s="213"/>
      <c r="D414" s="213"/>
      <c r="E414" s="213"/>
      <c r="F414" s="213"/>
      <c r="G414" s="213"/>
      <c r="H414" s="213"/>
      <c r="I414" s="213"/>
      <c r="J414" s="213"/>
      <c r="K414" s="213"/>
      <c r="L414" s="213"/>
      <c r="M414" s="213"/>
      <c r="N414" s="213"/>
      <c r="O414" s="213"/>
      <c r="P414" s="213"/>
      <c r="Q414" s="213"/>
      <c r="R414" s="213"/>
    </row>
    <row r="415" spans="1:18" x14ac:dyDescent="0.25">
      <c r="A415" s="213"/>
      <c r="B415" s="213"/>
      <c r="C415" s="213"/>
      <c r="D415" s="213"/>
      <c r="E415" s="213"/>
      <c r="F415" s="213"/>
      <c r="G415" s="213"/>
      <c r="H415" s="213"/>
      <c r="I415" s="213"/>
      <c r="J415" s="213"/>
      <c r="K415" s="213"/>
      <c r="L415" s="213"/>
      <c r="M415" s="213"/>
      <c r="N415" s="213"/>
      <c r="O415" s="213"/>
      <c r="P415" s="213"/>
      <c r="Q415" s="213"/>
      <c r="R415" s="213"/>
    </row>
    <row r="416" spans="1:18" x14ac:dyDescent="0.25">
      <c r="A416" s="213"/>
      <c r="B416" s="213"/>
      <c r="C416" s="213"/>
      <c r="D416" s="213"/>
      <c r="E416" s="213"/>
      <c r="F416" s="213"/>
      <c r="G416" s="213"/>
      <c r="H416" s="213"/>
      <c r="I416" s="213"/>
      <c r="J416" s="213"/>
      <c r="K416" s="213"/>
      <c r="L416" s="213"/>
      <c r="M416" s="213"/>
      <c r="N416" s="213"/>
      <c r="O416" s="213"/>
      <c r="P416" s="213"/>
      <c r="Q416" s="213"/>
      <c r="R416" s="213"/>
    </row>
    <row r="417" spans="1:18" x14ac:dyDescent="0.25">
      <c r="A417" s="213"/>
      <c r="B417" s="213"/>
      <c r="C417" s="213"/>
      <c r="D417" s="213"/>
      <c r="E417" s="213"/>
      <c r="F417" s="213"/>
      <c r="G417" s="213"/>
      <c r="H417" s="213"/>
      <c r="I417" s="213"/>
      <c r="J417" s="213"/>
      <c r="K417" s="213"/>
      <c r="L417" s="213"/>
      <c r="M417" s="213"/>
      <c r="N417" s="213"/>
      <c r="O417" s="213"/>
      <c r="P417" s="213"/>
      <c r="Q417" s="213"/>
      <c r="R417" s="213"/>
    </row>
    <row r="418" spans="1:18" x14ac:dyDescent="0.25">
      <c r="A418" s="213"/>
      <c r="B418" s="213"/>
      <c r="C418" s="213"/>
      <c r="D418" s="213"/>
      <c r="E418" s="213"/>
      <c r="F418" s="213"/>
      <c r="G418" s="213"/>
      <c r="H418" s="213"/>
      <c r="I418" s="213"/>
      <c r="J418" s="213"/>
      <c r="K418" s="213"/>
      <c r="L418" s="213"/>
      <c r="M418" s="213"/>
      <c r="N418" s="213"/>
      <c r="O418" s="213"/>
      <c r="P418" s="213"/>
      <c r="Q418" s="213"/>
      <c r="R418" s="213"/>
    </row>
    <row r="419" spans="1:18" x14ac:dyDescent="0.25">
      <c r="A419" s="213"/>
      <c r="B419" s="213"/>
      <c r="C419" s="213"/>
      <c r="D419" s="213"/>
      <c r="E419" s="213"/>
      <c r="F419" s="213"/>
      <c r="G419" s="213"/>
      <c r="H419" s="213"/>
      <c r="I419" s="213"/>
      <c r="J419" s="213"/>
      <c r="K419" s="213"/>
      <c r="L419" s="213"/>
      <c r="M419" s="213"/>
      <c r="N419" s="213"/>
      <c r="O419" s="213"/>
      <c r="P419" s="213"/>
      <c r="Q419" s="213"/>
      <c r="R419" s="213"/>
    </row>
    <row r="420" spans="1:18" x14ac:dyDescent="0.25">
      <c r="A420" s="213"/>
      <c r="B420" s="213"/>
      <c r="C420" s="213"/>
      <c r="D420" s="213"/>
      <c r="E420" s="213"/>
      <c r="F420" s="213"/>
      <c r="G420" s="213"/>
      <c r="H420" s="213"/>
      <c r="I420" s="213"/>
      <c r="J420" s="213"/>
      <c r="K420" s="213"/>
      <c r="L420" s="213"/>
      <c r="M420" s="213"/>
      <c r="N420" s="213"/>
      <c r="O420" s="213"/>
      <c r="P420" s="213"/>
      <c r="Q420" s="213"/>
      <c r="R420" s="213"/>
    </row>
    <row r="421" spans="1:18" x14ac:dyDescent="0.25">
      <c r="A421" s="213"/>
      <c r="B421" s="213"/>
      <c r="C421" s="213"/>
      <c r="D421" s="213"/>
      <c r="E421" s="213"/>
      <c r="F421" s="213"/>
      <c r="G421" s="213"/>
      <c r="H421" s="213"/>
      <c r="I421" s="213"/>
      <c r="J421" s="213"/>
      <c r="K421" s="213"/>
      <c r="L421" s="213"/>
      <c r="M421" s="213"/>
      <c r="N421" s="213"/>
      <c r="O421" s="213"/>
      <c r="P421" s="213"/>
      <c r="Q421" s="213"/>
      <c r="R421" s="213"/>
    </row>
    <row r="422" spans="1:18" x14ac:dyDescent="0.25">
      <c r="A422" s="213"/>
      <c r="B422" s="213"/>
      <c r="C422" s="213"/>
      <c r="D422" s="213"/>
      <c r="E422" s="213"/>
      <c r="F422" s="213"/>
      <c r="G422" s="213"/>
      <c r="H422" s="213"/>
      <c r="I422" s="213"/>
      <c r="J422" s="213"/>
      <c r="K422" s="213"/>
      <c r="L422" s="213"/>
      <c r="M422" s="213"/>
      <c r="N422" s="213"/>
      <c r="O422" s="213"/>
      <c r="P422" s="213"/>
      <c r="Q422" s="213"/>
      <c r="R422" s="213"/>
    </row>
    <row r="423" spans="1:18" x14ac:dyDescent="0.25">
      <c r="A423" s="213"/>
      <c r="B423" s="213"/>
      <c r="C423" s="213"/>
      <c r="D423" s="213"/>
      <c r="E423" s="213"/>
      <c r="F423" s="213"/>
      <c r="G423" s="213"/>
      <c r="H423" s="213"/>
      <c r="I423" s="213"/>
      <c r="J423" s="213"/>
      <c r="K423" s="213"/>
      <c r="L423" s="213"/>
      <c r="M423" s="213"/>
      <c r="N423" s="213"/>
      <c r="O423" s="213"/>
      <c r="P423" s="213"/>
      <c r="Q423" s="213"/>
      <c r="R423" s="213"/>
    </row>
    <row r="424" spans="1:18" x14ac:dyDescent="0.25">
      <c r="A424" s="213"/>
      <c r="B424" s="213"/>
      <c r="C424" s="213"/>
      <c r="D424" s="213"/>
      <c r="E424" s="213"/>
      <c r="F424" s="213"/>
      <c r="G424" s="213"/>
      <c r="H424" s="213"/>
      <c r="I424" s="213"/>
      <c r="J424" s="213"/>
      <c r="K424" s="213"/>
      <c r="L424" s="213"/>
      <c r="M424" s="213"/>
      <c r="N424" s="213"/>
      <c r="O424" s="213"/>
      <c r="P424" s="213"/>
      <c r="Q424" s="213"/>
      <c r="R424" s="213"/>
    </row>
    <row r="425" spans="1:18" x14ac:dyDescent="0.25">
      <c r="A425" s="213"/>
      <c r="B425" s="213"/>
      <c r="C425" s="213"/>
      <c r="D425" s="213"/>
      <c r="E425" s="213"/>
      <c r="F425" s="213"/>
      <c r="G425" s="213"/>
      <c r="H425" s="213"/>
      <c r="I425" s="213"/>
      <c r="J425" s="213"/>
      <c r="K425" s="213"/>
      <c r="L425" s="213"/>
      <c r="M425" s="213"/>
      <c r="N425" s="213"/>
      <c r="O425" s="213"/>
      <c r="P425" s="213"/>
      <c r="Q425" s="213"/>
      <c r="R425" s="213"/>
    </row>
    <row r="426" spans="1:18" x14ac:dyDescent="0.25">
      <c r="A426" s="213"/>
      <c r="B426" s="213"/>
      <c r="C426" s="213"/>
      <c r="D426" s="213"/>
      <c r="E426" s="213"/>
      <c r="F426" s="213"/>
      <c r="G426" s="213"/>
      <c r="H426" s="213"/>
      <c r="I426" s="213"/>
      <c r="J426" s="213"/>
      <c r="K426" s="213"/>
      <c r="L426" s="213"/>
      <c r="M426" s="213"/>
      <c r="N426" s="213"/>
      <c r="O426" s="213"/>
      <c r="P426" s="213"/>
      <c r="Q426" s="213"/>
      <c r="R426" s="213"/>
    </row>
    <row r="427" spans="1:18" x14ac:dyDescent="0.25">
      <c r="A427" s="213"/>
      <c r="B427" s="213"/>
      <c r="C427" s="213"/>
      <c r="D427" s="213"/>
      <c r="E427" s="213"/>
      <c r="F427" s="213"/>
      <c r="G427" s="213"/>
      <c r="H427" s="213"/>
      <c r="I427" s="213"/>
      <c r="J427" s="213"/>
      <c r="K427" s="213"/>
      <c r="L427" s="213"/>
      <c r="M427" s="213"/>
      <c r="N427" s="213"/>
      <c r="O427" s="213"/>
      <c r="P427" s="213"/>
      <c r="Q427" s="213"/>
      <c r="R427" s="213"/>
    </row>
    <row r="428" spans="1:18" x14ac:dyDescent="0.25">
      <c r="A428" s="213"/>
      <c r="B428" s="213"/>
      <c r="C428" s="213"/>
      <c r="D428" s="213"/>
      <c r="E428" s="213"/>
      <c r="F428" s="213"/>
      <c r="G428" s="213"/>
      <c r="H428" s="213"/>
      <c r="I428" s="213"/>
      <c r="J428" s="213"/>
      <c r="K428" s="213"/>
      <c r="L428" s="213"/>
      <c r="M428" s="213"/>
      <c r="N428" s="213"/>
      <c r="O428" s="213"/>
      <c r="P428" s="213"/>
      <c r="Q428" s="213"/>
      <c r="R428" s="213"/>
    </row>
    <row r="429" spans="1:18" x14ac:dyDescent="0.25">
      <c r="A429" s="213"/>
      <c r="B429" s="213"/>
      <c r="C429" s="213"/>
      <c r="D429" s="213"/>
      <c r="E429" s="213"/>
      <c r="F429" s="213"/>
      <c r="G429" s="213"/>
      <c r="H429" s="213"/>
      <c r="I429" s="213"/>
      <c r="J429" s="213"/>
      <c r="K429" s="213"/>
      <c r="L429" s="213"/>
      <c r="M429" s="213"/>
      <c r="N429" s="213"/>
      <c r="O429" s="213"/>
      <c r="P429" s="213"/>
      <c r="Q429" s="213"/>
      <c r="R429" s="213"/>
    </row>
    <row r="430" spans="1:18" x14ac:dyDescent="0.25">
      <c r="A430" s="213"/>
      <c r="B430" s="213"/>
      <c r="C430" s="213"/>
      <c r="D430" s="213"/>
      <c r="E430" s="213"/>
      <c r="F430" s="213"/>
      <c r="G430" s="213"/>
      <c r="H430" s="213"/>
      <c r="I430" s="213"/>
      <c r="J430" s="213"/>
      <c r="K430" s="213"/>
      <c r="L430" s="213"/>
      <c r="M430" s="213"/>
      <c r="N430" s="213"/>
      <c r="O430" s="213"/>
      <c r="P430" s="213"/>
      <c r="Q430" s="213"/>
      <c r="R430" s="213"/>
    </row>
    <row r="431" spans="1:18" x14ac:dyDescent="0.25">
      <c r="A431" s="213"/>
      <c r="B431" s="213"/>
      <c r="C431" s="213"/>
      <c r="D431" s="213"/>
      <c r="E431" s="213"/>
      <c r="F431" s="213"/>
      <c r="G431" s="213"/>
      <c r="H431" s="213"/>
      <c r="I431" s="213"/>
      <c r="J431" s="213"/>
      <c r="K431" s="213"/>
      <c r="L431" s="213"/>
      <c r="M431" s="213"/>
      <c r="N431" s="213"/>
      <c r="O431" s="213"/>
      <c r="P431" s="213"/>
      <c r="Q431" s="213"/>
      <c r="R431" s="213"/>
    </row>
    <row r="432" spans="1:18" x14ac:dyDescent="0.25">
      <c r="A432" s="213"/>
      <c r="B432" s="213"/>
      <c r="C432" s="213"/>
      <c r="D432" s="213"/>
      <c r="E432" s="213"/>
      <c r="F432" s="213"/>
      <c r="G432" s="213"/>
      <c r="H432" s="213"/>
      <c r="I432" s="213"/>
      <c r="J432" s="213"/>
      <c r="K432" s="213"/>
      <c r="L432" s="213"/>
      <c r="M432" s="213"/>
      <c r="N432" s="213"/>
      <c r="O432" s="213"/>
      <c r="P432" s="213"/>
      <c r="Q432" s="213"/>
      <c r="R432" s="213"/>
    </row>
    <row r="433" spans="1:18" x14ac:dyDescent="0.25">
      <c r="A433" s="213"/>
      <c r="B433" s="213"/>
      <c r="C433" s="213"/>
      <c r="D433" s="213"/>
      <c r="E433" s="213"/>
      <c r="F433" s="213"/>
      <c r="G433" s="213"/>
      <c r="H433" s="213"/>
      <c r="I433" s="213"/>
      <c r="J433" s="213"/>
      <c r="K433" s="213"/>
      <c r="L433" s="213"/>
      <c r="M433" s="213"/>
      <c r="N433" s="213"/>
      <c r="O433" s="213"/>
      <c r="P433" s="213"/>
      <c r="Q433" s="213"/>
      <c r="R433" s="213"/>
    </row>
    <row r="434" spans="1:18" x14ac:dyDescent="0.25">
      <c r="A434" s="213"/>
      <c r="B434" s="213"/>
      <c r="C434" s="213"/>
      <c r="D434" s="213"/>
      <c r="E434" s="213"/>
      <c r="F434" s="213"/>
      <c r="G434" s="213"/>
      <c r="H434" s="213"/>
      <c r="I434" s="213"/>
      <c r="J434" s="213"/>
      <c r="K434" s="213"/>
      <c r="L434" s="213"/>
      <c r="M434" s="213"/>
      <c r="N434" s="213"/>
      <c r="O434" s="213"/>
      <c r="P434" s="213"/>
      <c r="Q434" s="213"/>
      <c r="R434" s="213"/>
    </row>
    <row r="435" spans="1:18" x14ac:dyDescent="0.25">
      <c r="A435" s="213"/>
      <c r="B435" s="213"/>
      <c r="C435" s="213"/>
      <c r="D435" s="213"/>
      <c r="E435" s="213"/>
      <c r="F435" s="213"/>
      <c r="G435" s="213"/>
      <c r="H435" s="213"/>
      <c r="I435" s="213"/>
      <c r="J435" s="213"/>
      <c r="K435" s="213"/>
      <c r="L435" s="213"/>
      <c r="M435" s="213"/>
      <c r="N435" s="213"/>
      <c r="O435" s="213"/>
      <c r="P435" s="213"/>
      <c r="Q435" s="213"/>
      <c r="R435" s="213"/>
    </row>
    <row r="436" spans="1:18" x14ac:dyDescent="0.25">
      <c r="A436" s="213"/>
      <c r="B436" s="213"/>
      <c r="C436" s="213"/>
      <c r="D436" s="213"/>
      <c r="E436" s="213"/>
      <c r="F436" s="213"/>
      <c r="G436" s="213"/>
      <c r="H436" s="213"/>
      <c r="I436" s="213"/>
      <c r="J436" s="213"/>
      <c r="K436" s="213"/>
      <c r="L436" s="213"/>
      <c r="M436" s="213"/>
      <c r="N436" s="213"/>
      <c r="O436" s="213"/>
      <c r="P436" s="213"/>
      <c r="Q436" s="213"/>
      <c r="R436" s="213"/>
    </row>
    <row r="437" spans="1:18" x14ac:dyDescent="0.25">
      <c r="A437" s="213"/>
      <c r="B437" s="213"/>
      <c r="C437" s="213"/>
      <c r="D437" s="213"/>
      <c r="E437" s="213"/>
      <c r="F437" s="213"/>
      <c r="G437" s="213"/>
      <c r="H437" s="213"/>
      <c r="I437" s="213"/>
      <c r="J437" s="213"/>
      <c r="K437" s="213"/>
      <c r="L437" s="213"/>
      <c r="M437" s="213"/>
      <c r="N437" s="213"/>
      <c r="O437" s="213"/>
      <c r="P437" s="213"/>
      <c r="Q437" s="213"/>
      <c r="R437" s="213"/>
    </row>
    <row r="438" spans="1:18" x14ac:dyDescent="0.25">
      <c r="A438" s="213"/>
      <c r="B438" s="213"/>
      <c r="C438" s="213"/>
      <c r="D438" s="213"/>
      <c r="E438" s="213"/>
      <c r="F438" s="213"/>
      <c r="G438" s="213"/>
      <c r="H438" s="213"/>
      <c r="I438" s="213"/>
      <c r="J438" s="213"/>
      <c r="K438" s="213"/>
      <c r="L438" s="213"/>
      <c r="M438" s="213"/>
      <c r="N438" s="213"/>
      <c r="O438" s="213"/>
      <c r="P438" s="213"/>
      <c r="Q438" s="213"/>
      <c r="R438" s="213"/>
    </row>
    <row r="439" spans="1:18" x14ac:dyDescent="0.25">
      <c r="A439" s="213"/>
      <c r="B439" s="213"/>
      <c r="C439" s="213"/>
      <c r="D439" s="213"/>
      <c r="E439" s="213"/>
      <c r="F439" s="213"/>
      <c r="G439" s="213"/>
      <c r="H439" s="213"/>
      <c r="I439" s="213"/>
      <c r="J439" s="213"/>
      <c r="K439" s="213"/>
      <c r="L439" s="213"/>
      <c r="M439" s="213"/>
      <c r="N439" s="213"/>
      <c r="O439" s="213"/>
      <c r="P439" s="213"/>
      <c r="Q439" s="213"/>
      <c r="R439" s="213"/>
    </row>
    <row r="440" spans="1:18" x14ac:dyDescent="0.25">
      <c r="A440" s="213"/>
      <c r="B440" s="213"/>
      <c r="C440" s="213"/>
      <c r="D440" s="213"/>
      <c r="E440" s="213"/>
      <c r="F440" s="213"/>
      <c r="G440" s="213"/>
      <c r="H440" s="213"/>
      <c r="I440" s="213"/>
      <c r="J440" s="213"/>
      <c r="K440" s="213"/>
      <c r="L440" s="213"/>
      <c r="M440" s="213"/>
      <c r="N440" s="213"/>
      <c r="O440" s="213"/>
      <c r="P440" s="213"/>
      <c r="Q440" s="213"/>
      <c r="R440" s="213"/>
    </row>
    <row r="441" spans="1:18" x14ac:dyDescent="0.25">
      <c r="A441" s="213"/>
      <c r="B441" s="213"/>
      <c r="C441" s="213"/>
      <c r="D441" s="213"/>
      <c r="E441" s="213"/>
      <c r="F441" s="213"/>
      <c r="G441" s="213"/>
      <c r="H441" s="213"/>
      <c r="I441" s="213"/>
      <c r="J441" s="213"/>
      <c r="K441" s="213"/>
      <c r="L441" s="213"/>
      <c r="M441" s="213"/>
      <c r="N441" s="213"/>
      <c r="O441" s="213"/>
      <c r="P441" s="213"/>
      <c r="Q441" s="213"/>
      <c r="R441" s="213"/>
    </row>
    <row r="442" spans="1:18" x14ac:dyDescent="0.25">
      <c r="A442" s="213"/>
      <c r="B442" s="213"/>
      <c r="C442" s="213"/>
      <c r="D442" s="213"/>
      <c r="E442" s="213"/>
      <c r="F442" s="213"/>
      <c r="G442" s="213"/>
      <c r="H442" s="213"/>
      <c r="I442" s="213"/>
      <c r="J442" s="213"/>
      <c r="K442" s="213"/>
      <c r="L442" s="213"/>
      <c r="M442" s="213"/>
      <c r="N442" s="213"/>
      <c r="O442" s="213"/>
      <c r="P442" s="213"/>
      <c r="Q442" s="213"/>
      <c r="R442" s="213"/>
    </row>
    <row r="443" spans="1:18" x14ac:dyDescent="0.25">
      <c r="A443" s="213"/>
      <c r="B443" s="213"/>
      <c r="C443" s="213"/>
      <c r="D443" s="213"/>
      <c r="E443" s="213"/>
      <c r="F443" s="213"/>
      <c r="G443" s="213"/>
      <c r="H443" s="213"/>
      <c r="I443" s="213"/>
      <c r="J443" s="213"/>
      <c r="K443" s="213"/>
      <c r="L443" s="213"/>
      <c r="M443" s="213"/>
      <c r="N443" s="213"/>
      <c r="O443" s="213"/>
      <c r="P443" s="213"/>
      <c r="Q443" s="213"/>
      <c r="R443" s="213"/>
    </row>
    <row r="444" spans="1:18" x14ac:dyDescent="0.25">
      <c r="A444" s="213"/>
      <c r="B444" s="213"/>
      <c r="C444" s="213"/>
      <c r="D444" s="213"/>
      <c r="E444" s="213"/>
      <c r="F444" s="213"/>
      <c r="G444" s="213"/>
      <c r="H444" s="213"/>
      <c r="I444" s="213"/>
      <c r="J444" s="213"/>
      <c r="K444" s="213"/>
      <c r="L444" s="213"/>
      <c r="M444" s="213"/>
      <c r="N444" s="213"/>
      <c r="O444" s="213"/>
      <c r="P444" s="213"/>
      <c r="Q444" s="213"/>
      <c r="R444" s="213"/>
    </row>
    <row r="445" spans="1:18" x14ac:dyDescent="0.25">
      <c r="A445" s="213"/>
      <c r="B445" s="213"/>
      <c r="C445" s="213"/>
      <c r="D445" s="213"/>
      <c r="E445" s="213"/>
      <c r="F445" s="213"/>
      <c r="G445" s="213"/>
      <c r="H445" s="213"/>
      <c r="I445" s="213"/>
      <c r="J445" s="213"/>
      <c r="K445" s="213"/>
      <c r="L445" s="213"/>
      <c r="M445" s="213"/>
      <c r="N445" s="213"/>
      <c r="O445" s="213"/>
      <c r="P445" s="213"/>
      <c r="Q445" s="213"/>
      <c r="R445" s="213"/>
    </row>
    <row r="446" spans="1:18" x14ac:dyDescent="0.25">
      <c r="A446" s="213"/>
      <c r="B446" s="213"/>
      <c r="C446" s="213"/>
      <c r="D446" s="213"/>
      <c r="E446" s="213"/>
      <c r="F446" s="213"/>
      <c r="G446" s="213"/>
      <c r="H446" s="213"/>
      <c r="I446" s="213"/>
      <c r="J446" s="213"/>
      <c r="K446" s="213"/>
      <c r="L446" s="213"/>
      <c r="M446" s="213"/>
      <c r="N446" s="213"/>
      <c r="O446" s="213"/>
      <c r="P446" s="213"/>
      <c r="Q446" s="213"/>
      <c r="R446" s="213"/>
    </row>
    <row r="447" spans="1:18" x14ac:dyDescent="0.25">
      <c r="A447" s="213"/>
      <c r="B447" s="213"/>
      <c r="C447" s="213"/>
      <c r="D447" s="213"/>
      <c r="E447" s="213"/>
      <c r="F447" s="213"/>
      <c r="G447" s="213"/>
      <c r="H447" s="213"/>
      <c r="I447" s="213"/>
      <c r="J447" s="213"/>
      <c r="K447" s="213"/>
      <c r="L447" s="213"/>
      <c r="M447" s="213"/>
      <c r="N447" s="213"/>
      <c r="O447" s="213"/>
      <c r="P447" s="213"/>
      <c r="Q447" s="213"/>
      <c r="R447" s="213"/>
    </row>
    <row r="448" spans="1:18" x14ac:dyDescent="0.25">
      <c r="A448" s="213"/>
      <c r="B448" s="213"/>
      <c r="C448" s="213"/>
      <c r="D448" s="213"/>
      <c r="E448" s="213"/>
      <c r="F448" s="213"/>
      <c r="G448" s="213"/>
      <c r="H448" s="213"/>
      <c r="I448" s="213"/>
      <c r="J448" s="213"/>
      <c r="K448" s="213"/>
      <c r="L448" s="213"/>
      <c r="M448" s="213"/>
      <c r="N448" s="213"/>
      <c r="O448" s="213"/>
      <c r="P448" s="213"/>
      <c r="Q448" s="213"/>
      <c r="R448" s="213"/>
    </row>
    <row r="449" spans="1:18" x14ac:dyDescent="0.25">
      <c r="A449" s="213"/>
      <c r="B449" s="213"/>
      <c r="C449" s="213"/>
      <c r="D449" s="213"/>
      <c r="E449" s="213"/>
      <c r="F449" s="213"/>
      <c r="G449" s="213"/>
      <c r="H449" s="213"/>
      <c r="I449" s="213"/>
      <c r="J449" s="213"/>
      <c r="K449" s="213"/>
      <c r="L449" s="213"/>
      <c r="M449" s="213"/>
      <c r="N449" s="213"/>
      <c r="O449" s="213"/>
      <c r="P449" s="213"/>
      <c r="Q449" s="213"/>
      <c r="R449" s="213"/>
    </row>
    <row r="450" spans="1:18" x14ac:dyDescent="0.25">
      <c r="A450" s="213"/>
      <c r="B450" s="213"/>
      <c r="C450" s="213"/>
      <c r="D450" s="213"/>
      <c r="E450" s="213"/>
      <c r="F450" s="213"/>
      <c r="G450" s="213"/>
      <c r="H450" s="213"/>
      <c r="I450" s="213"/>
      <c r="J450" s="213"/>
      <c r="K450" s="213"/>
      <c r="L450" s="213"/>
      <c r="M450" s="213"/>
      <c r="N450" s="213"/>
      <c r="O450" s="213"/>
      <c r="P450" s="213"/>
      <c r="Q450" s="213"/>
      <c r="R450" s="213"/>
    </row>
    <row r="451" spans="1:18" x14ac:dyDescent="0.25">
      <c r="A451" s="213"/>
      <c r="B451" s="213"/>
      <c r="C451" s="213"/>
      <c r="D451" s="213"/>
      <c r="E451" s="213"/>
      <c r="F451" s="213"/>
      <c r="G451" s="213"/>
      <c r="H451" s="213"/>
      <c r="I451" s="213"/>
      <c r="J451" s="213"/>
      <c r="K451" s="213"/>
      <c r="L451" s="213"/>
      <c r="M451" s="213"/>
      <c r="N451" s="213"/>
      <c r="O451" s="213"/>
      <c r="P451" s="213"/>
      <c r="Q451" s="213"/>
      <c r="R451" s="213"/>
    </row>
    <row r="452" spans="1:18" x14ac:dyDescent="0.25">
      <c r="A452" s="213"/>
      <c r="B452" s="213"/>
      <c r="C452" s="213"/>
      <c r="D452" s="213"/>
      <c r="E452" s="213"/>
      <c r="F452" s="213"/>
      <c r="G452" s="213"/>
      <c r="H452" s="213"/>
      <c r="I452" s="213"/>
      <c r="J452" s="213"/>
      <c r="K452" s="213"/>
      <c r="L452" s="213"/>
      <c r="M452" s="213"/>
      <c r="N452" s="213"/>
      <c r="O452" s="213"/>
      <c r="P452" s="213"/>
      <c r="Q452" s="213"/>
      <c r="R452" s="213"/>
    </row>
    <row r="453" spans="1:18" x14ac:dyDescent="0.25">
      <c r="A453" s="213"/>
      <c r="B453" s="213"/>
      <c r="C453" s="213"/>
      <c r="D453" s="213"/>
      <c r="E453" s="213"/>
      <c r="F453" s="213"/>
      <c r="G453" s="213"/>
      <c r="H453" s="213"/>
      <c r="I453" s="213"/>
      <c r="J453" s="213"/>
      <c r="K453" s="213"/>
      <c r="L453" s="213"/>
      <c r="M453" s="213"/>
      <c r="N453" s="213"/>
      <c r="O453" s="213"/>
      <c r="P453" s="213"/>
      <c r="Q453" s="213"/>
      <c r="R453" s="213"/>
    </row>
    <row r="454" spans="1:18" x14ac:dyDescent="0.25">
      <c r="A454" s="213"/>
      <c r="B454" s="213"/>
      <c r="C454" s="213"/>
      <c r="D454" s="213"/>
      <c r="E454" s="213"/>
      <c r="F454" s="213"/>
      <c r="G454" s="213"/>
      <c r="H454" s="213"/>
      <c r="I454" s="213"/>
      <c r="J454" s="213"/>
      <c r="K454" s="213"/>
      <c r="L454" s="213"/>
      <c r="M454" s="213"/>
      <c r="N454" s="213"/>
      <c r="O454" s="213"/>
      <c r="P454" s="213"/>
      <c r="Q454" s="213"/>
      <c r="R454" s="213"/>
    </row>
    <row r="455" spans="1:18" x14ac:dyDescent="0.25">
      <c r="A455" s="213"/>
      <c r="B455" s="213"/>
      <c r="C455" s="213"/>
      <c r="D455" s="213"/>
      <c r="E455" s="213"/>
      <c r="F455" s="213"/>
      <c r="G455" s="213"/>
      <c r="H455" s="213"/>
      <c r="I455" s="213"/>
      <c r="J455" s="213"/>
      <c r="K455" s="213"/>
      <c r="L455" s="213"/>
      <c r="M455" s="213"/>
      <c r="N455" s="213"/>
      <c r="O455" s="213"/>
      <c r="P455" s="213"/>
      <c r="Q455" s="213"/>
      <c r="R455" s="213"/>
    </row>
    <row r="456" spans="1:18" x14ac:dyDescent="0.25">
      <c r="A456" s="213"/>
      <c r="B456" s="213"/>
      <c r="C456" s="213"/>
      <c r="D456" s="213"/>
      <c r="E456" s="213"/>
      <c r="F456" s="213"/>
      <c r="G456" s="213"/>
      <c r="H456" s="213"/>
      <c r="I456" s="213"/>
      <c r="J456" s="213"/>
      <c r="K456" s="213"/>
      <c r="L456" s="213"/>
      <c r="M456" s="213"/>
      <c r="N456" s="213"/>
      <c r="O456" s="213"/>
      <c r="P456" s="213"/>
      <c r="Q456" s="213"/>
      <c r="R456" s="213"/>
    </row>
    <row r="457" spans="1:18" x14ac:dyDescent="0.25">
      <c r="A457" s="213"/>
      <c r="B457" s="213"/>
      <c r="C457" s="213"/>
      <c r="D457" s="213"/>
      <c r="E457" s="213"/>
      <c r="F457" s="213"/>
      <c r="G457" s="213"/>
      <c r="H457" s="213"/>
      <c r="I457" s="213"/>
      <c r="J457" s="213"/>
      <c r="K457" s="213"/>
      <c r="L457" s="213"/>
      <c r="M457" s="213"/>
      <c r="N457" s="213"/>
      <c r="O457" s="213"/>
      <c r="P457" s="213"/>
      <c r="Q457" s="213"/>
      <c r="R457" s="213"/>
    </row>
    <row r="458" spans="1:18" x14ac:dyDescent="0.25">
      <c r="A458" s="213"/>
      <c r="B458" s="213"/>
      <c r="C458" s="213"/>
      <c r="D458" s="213"/>
      <c r="E458" s="213"/>
      <c r="F458" s="213"/>
      <c r="G458" s="213"/>
      <c r="H458" s="213"/>
      <c r="I458" s="213"/>
      <c r="J458" s="213"/>
      <c r="K458" s="213"/>
      <c r="L458" s="213"/>
      <c r="M458" s="213"/>
      <c r="N458" s="213"/>
      <c r="O458" s="213"/>
      <c r="P458" s="213"/>
      <c r="Q458" s="213"/>
      <c r="R458" s="213"/>
    </row>
    <row r="459" spans="1:18" x14ac:dyDescent="0.25">
      <c r="A459" s="213"/>
      <c r="B459" s="213"/>
      <c r="C459" s="213"/>
      <c r="D459" s="213"/>
      <c r="E459" s="213"/>
      <c r="F459" s="213"/>
      <c r="G459" s="213"/>
      <c r="H459" s="213"/>
      <c r="I459" s="213"/>
      <c r="J459" s="213"/>
      <c r="K459" s="213"/>
      <c r="L459" s="213"/>
      <c r="M459" s="213"/>
      <c r="N459" s="213"/>
      <c r="O459" s="213"/>
      <c r="P459" s="213"/>
      <c r="Q459" s="213"/>
      <c r="R459" s="213"/>
    </row>
    <row r="460" spans="1:18" x14ac:dyDescent="0.25">
      <c r="A460" s="213"/>
      <c r="B460" s="213"/>
      <c r="C460" s="213"/>
      <c r="D460" s="213"/>
      <c r="E460" s="213"/>
      <c r="F460" s="213"/>
      <c r="G460" s="213"/>
      <c r="H460" s="213"/>
      <c r="I460" s="213"/>
      <c r="J460" s="213"/>
      <c r="K460" s="213"/>
      <c r="L460" s="213"/>
      <c r="M460" s="213"/>
      <c r="N460" s="213"/>
      <c r="O460" s="213"/>
      <c r="P460" s="213"/>
      <c r="Q460" s="213"/>
      <c r="R460" s="213"/>
    </row>
    <row r="461" spans="1:18" x14ac:dyDescent="0.25">
      <c r="A461" s="213"/>
      <c r="B461" s="213"/>
      <c r="C461" s="213"/>
      <c r="D461" s="213"/>
      <c r="E461" s="213"/>
      <c r="F461" s="213"/>
      <c r="G461" s="213"/>
      <c r="H461" s="213"/>
      <c r="I461" s="213"/>
      <c r="J461" s="213"/>
      <c r="K461" s="213"/>
      <c r="L461" s="213"/>
      <c r="M461" s="213"/>
      <c r="N461" s="213"/>
      <c r="O461" s="213"/>
      <c r="P461" s="213"/>
      <c r="Q461" s="213"/>
      <c r="R461" s="213"/>
    </row>
    <row r="462" spans="1:18" x14ac:dyDescent="0.25">
      <c r="A462" s="213"/>
      <c r="B462" s="213"/>
      <c r="C462" s="213"/>
      <c r="D462" s="213"/>
      <c r="E462" s="213"/>
      <c r="F462" s="213"/>
      <c r="G462" s="213"/>
      <c r="H462" s="213"/>
      <c r="I462" s="213"/>
      <c r="J462" s="213"/>
      <c r="K462" s="213"/>
      <c r="L462" s="213"/>
      <c r="M462" s="213"/>
      <c r="N462" s="213"/>
      <c r="O462" s="213"/>
      <c r="P462" s="213"/>
      <c r="Q462" s="213"/>
      <c r="R462" s="213"/>
    </row>
    <row r="463" spans="1:18" x14ac:dyDescent="0.25">
      <c r="A463" s="213"/>
      <c r="B463" s="213"/>
      <c r="C463" s="213"/>
      <c r="D463" s="213"/>
      <c r="E463" s="213"/>
      <c r="F463" s="213"/>
      <c r="G463" s="213"/>
      <c r="H463" s="213"/>
      <c r="I463" s="213"/>
      <c r="J463" s="213"/>
      <c r="K463" s="213"/>
      <c r="L463" s="213"/>
      <c r="M463" s="213"/>
      <c r="N463" s="213"/>
      <c r="O463" s="213"/>
      <c r="P463" s="213"/>
      <c r="Q463" s="213"/>
      <c r="R463" s="213"/>
    </row>
    <row r="464" spans="1:18" x14ac:dyDescent="0.25">
      <c r="A464" s="213"/>
      <c r="B464" s="213"/>
      <c r="C464" s="213"/>
      <c r="D464" s="213"/>
      <c r="E464" s="213"/>
      <c r="F464" s="213"/>
      <c r="G464" s="213"/>
      <c r="H464" s="213"/>
      <c r="I464" s="213"/>
      <c r="J464" s="213"/>
      <c r="K464" s="213"/>
      <c r="L464" s="213"/>
      <c r="M464" s="213"/>
      <c r="N464" s="213"/>
      <c r="O464" s="213"/>
      <c r="P464" s="213"/>
      <c r="Q464" s="213"/>
      <c r="R464" s="213"/>
    </row>
    <row r="465" spans="1:18" x14ac:dyDescent="0.25">
      <c r="A465" s="213"/>
      <c r="B465" s="213"/>
      <c r="C465" s="213"/>
      <c r="D465" s="213"/>
      <c r="E465" s="213"/>
      <c r="F465" s="213"/>
      <c r="G465" s="213"/>
      <c r="H465" s="213"/>
      <c r="I465" s="213"/>
      <c r="J465" s="213"/>
      <c r="K465" s="213"/>
      <c r="L465" s="213"/>
      <c r="M465" s="213"/>
      <c r="N465" s="213"/>
      <c r="O465" s="213"/>
      <c r="P465" s="213"/>
      <c r="Q465" s="213"/>
      <c r="R465" s="213"/>
    </row>
    <row r="466" spans="1:18" x14ac:dyDescent="0.25">
      <c r="A466" s="213"/>
      <c r="B466" s="213"/>
      <c r="C466" s="213"/>
      <c r="D466" s="213"/>
      <c r="E466" s="213"/>
      <c r="F466" s="213"/>
      <c r="G466" s="213"/>
      <c r="H466" s="213"/>
      <c r="I466" s="213"/>
      <c r="J466" s="213"/>
      <c r="K466" s="213"/>
      <c r="L466" s="213"/>
      <c r="M466" s="213"/>
      <c r="N466" s="213"/>
      <c r="O466" s="213"/>
      <c r="P466" s="213"/>
      <c r="Q466" s="213"/>
      <c r="R466" s="213"/>
    </row>
    <row r="467" spans="1:18" x14ac:dyDescent="0.25">
      <c r="A467" s="213"/>
      <c r="B467" s="213"/>
      <c r="C467" s="213"/>
      <c r="D467" s="213"/>
      <c r="E467" s="213"/>
      <c r="F467" s="213"/>
      <c r="G467" s="213"/>
      <c r="H467" s="213"/>
      <c r="I467" s="213"/>
      <c r="J467" s="213"/>
      <c r="K467" s="213"/>
      <c r="L467" s="213"/>
      <c r="M467" s="213"/>
      <c r="N467" s="213"/>
      <c r="O467" s="213"/>
      <c r="P467" s="213"/>
      <c r="Q467" s="213"/>
      <c r="R467" s="213"/>
    </row>
    <row r="468" spans="1:18" x14ac:dyDescent="0.25">
      <c r="A468" s="213"/>
      <c r="B468" s="213"/>
      <c r="C468" s="213"/>
      <c r="D468" s="213"/>
      <c r="E468" s="213"/>
      <c r="F468" s="213"/>
      <c r="G468" s="213"/>
      <c r="H468" s="213"/>
      <c r="I468" s="213"/>
      <c r="J468" s="213"/>
      <c r="K468" s="213"/>
      <c r="L468" s="213"/>
      <c r="M468" s="213"/>
      <c r="N468" s="213"/>
      <c r="O468" s="213"/>
      <c r="P468" s="213"/>
      <c r="Q468" s="213"/>
      <c r="R468" s="213"/>
    </row>
    <row r="469" spans="1:18" x14ac:dyDescent="0.25">
      <c r="A469" s="213"/>
      <c r="B469" s="213"/>
      <c r="C469" s="213"/>
      <c r="D469" s="213"/>
      <c r="E469" s="213"/>
      <c r="F469" s="213"/>
      <c r="G469" s="213"/>
      <c r="H469" s="213"/>
      <c r="I469" s="213"/>
      <c r="J469" s="213"/>
      <c r="K469" s="213"/>
      <c r="L469" s="213"/>
      <c r="M469" s="213"/>
      <c r="N469" s="213"/>
      <c r="O469" s="213"/>
      <c r="P469" s="213"/>
      <c r="Q469" s="213"/>
      <c r="R469" s="213"/>
    </row>
    <row r="470" spans="1:18" x14ac:dyDescent="0.25">
      <c r="A470" s="213"/>
      <c r="B470" s="213"/>
      <c r="C470" s="213"/>
      <c r="D470" s="213"/>
      <c r="E470" s="213"/>
      <c r="F470" s="213"/>
      <c r="G470" s="213"/>
      <c r="H470" s="213"/>
      <c r="I470" s="213"/>
      <c r="J470" s="213"/>
      <c r="K470" s="213"/>
      <c r="L470" s="213"/>
      <c r="M470" s="213"/>
      <c r="N470" s="213"/>
      <c r="O470" s="213"/>
      <c r="P470" s="213"/>
      <c r="Q470" s="213"/>
      <c r="R470" s="213"/>
    </row>
    <row r="471" spans="1:18" x14ac:dyDescent="0.25">
      <c r="A471" s="213"/>
      <c r="B471" s="213"/>
      <c r="C471" s="213"/>
      <c r="D471" s="213"/>
      <c r="E471" s="213"/>
      <c r="F471" s="213"/>
      <c r="G471" s="213"/>
      <c r="H471" s="213"/>
      <c r="I471" s="213"/>
      <c r="J471" s="213"/>
      <c r="K471" s="213"/>
      <c r="L471" s="213"/>
      <c r="M471" s="213"/>
      <c r="N471" s="213"/>
      <c r="O471" s="213"/>
      <c r="P471" s="213"/>
      <c r="Q471" s="213"/>
      <c r="R471" s="213"/>
    </row>
    <row r="472" spans="1:18" x14ac:dyDescent="0.25">
      <c r="A472" s="213"/>
      <c r="B472" s="213"/>
      <c r="C472" s="213"/>
      <c r="D472" s="213"/>
      <c r="E472" s="213"/>
      <c r="F472" s="213"/>
      <c r="G472" s="213"/>
      <c r="H472" s="213"/>
      <c r="I472" s="213"/>
      <c r="J472" s="213"/>
      <c r="K472" s="213"/>
      <c r="L472" s="213"/>
      <c r="M472" s="213"/>
      <c r="N472" s="213"/>
      <c r="O472" s="213"/>
      <c r="P472" s="213"/>
      <c r="Q472" s="213"/>
      <c r="R472" s="213"/>
    </row>
    <row r="473" spans="1:18" x14ac:dyDescent="0.25">
      <c r="A473" s="213"/>
      <c r="B473" s="213"/>
      <c r="C473" s="213"/>
      <c r="D473" s="213"/>
      <c r="E473" s="213"/>
      <c r="F473" s="213"/>
      <c r="G473" s="213"/>
      <c r="H473" s="213"/>
      <c r="I473" s="213"/>
      <c r="J473" s="213"/>
      <c r="K473" s="213"/>
      <c r="L473" s="213"/>
      <c r="M473" s="213"/>
      <c r="N473" s="213"/>
      <c r="O473" s="213"/>
      <c r="P473" s="213"/>
      <c r="Q473" s="213"/>
      <c r="R473" s="213"/>
    </row>
    <row r="474" spans="1:18" x14ac:dyDescent="0.25">
      <c r="A474" s="213"/>
      <c r="B474" s="213"/>
      <c r="C474" s="213"/>
      <c r="D474" s="213"/>
      <c r="E474" s="213"/>
      <c r="F474" s="213"/>
      <c r="G474" s="213"/>
      <c r="H474" s="213"/>
      <c r="I474" s="213"/>
      <c r="J474" s="213"/>
      <c r="K474" s="213"/>
      <c r="L474" s="213"/>
      <c r="M474" s="213"/>
      <c r="N474" s="213"/>
      <c r="O474" s="213"/>
      <c r="P474" s="213"/>
      <c r="Q474" s="213"/>
      <c r="R474" s="213"/>
    </row>
    <row r="475" spans="1:18" x14ac:dyDescent="0.25">
      <c r="A475" s="213"/>
      <c r="B475" s="213"/>
      <c r="C475" s="213"/>
      <c r="D475" s="213"/>
      <c r="E475" s="213"/>
      <c r="F475" s="213"/>
      <c r="G475" s="213"/>
      <c r="H475" s="213"/>
      <c r="I475" s="213"/>
      <c r="J475" s="213"/>
      <c r="K475" s="213"/>
      <c r="L475" s="213"/>
      <c r="M475" s="213"/>
      <c r="N475" s="213"/>
      <c r="O475" s="213"/>
      <c r="P475" s="213"/>
      <c r="Q475" s="213"/>
      <c r="R475" s="213"/>
    </row>
    <row r="476" spans="1:18" x14ac:dyDescent="0.25">
      <c r="A476" s="213"/>
      <c r="B476" s="213"/>
      <c r="C476" s="213"/>
      <c r="D476" s="213"/>
      <c r="E476" s="213"/>
      <c r="F476" s="213"/>
      <c r="G476" s="213"/>
      <c r="H476" s="213"/>
      <c r="I476" s="213"/>
      <c r="J476" s="213"/>
      <c r="K476" s="213"/>
      <c r="L476" s="213"/>
      <c r="M476" s="213"/>
      <c r="N476" s="213"/>
      <c r="O476" s="213"/>
      <c r="P476" s="213"/>
      <c r="Q476" s="213"/>
      <c r="R476" s="213"/>
    </row>
    <row r="477" spans="1:18" x14ac:dyDescent="0.25">
      <c r="A477" s="213"/>
      <c r="B477" s="213"/>
      <c r="C477" s="213"/>
      <c r="D477" s="213"/>
      <c r="E477" s="213"/>
      <c r="F477" s="213"/>
      <c r="G477" s="213"/>
      <c r="H477" s="213"/>
      <c r="I477" s="213"/>
      <c r="J477" s="213"/>
      <c r="K477" s="213"/>
      <c r="L477" s="213"/>
      <c r="M477" s="213"/>
      <c r="N477" s="213"/>
      <c r="O477" s="213"/>
      <c r="P477" s="213"/>
      <c r="Q477" s="213"/>
      <c r="R477" s="213"/>
    </row>
    <row r="478" spans="1:18" x14ac:dyDescent="0.25">
      <c r="A478" s="213"/>
      <c r="B478" s="213"/>
      <c r="C478" s="213"/>
      <c r="D478" s="213"/>
      <c r="E478" s="213"/>
      <c r="F478" s="213"/>
      <c r="G478" s="213"/>
      <c r="H478" s="213"/>
      <c r="I478" s="213"/>
      <c r="J478" s="213"/>
      <c r="K478" s="213"/>
      <c r="L478" s="213"/>
      <c r="M478" s="213"/>
      <c r="N478" s="213"/>
      <c r="O478" s="213"/>
      <c r="P478" s="213"/>
      <c r="Q478" s="213"/>
      <c r="R478" s="213"/>
    </row>
    <row r="479" spans="1:18" x14ac:dyDescent="0.25">
      <c r="A479" s="213"/>
      <c r="B479" s="213"/>
      <c r="C479" s="213"/>
      <c r="D479" s="213"/>
      <c r="E479" s="213"/>
      <c r="F479" s="213"/>
      <c r="G479" s="213"/>
      <c r="H479" s="213"/>
      <c r="I479" s="213"/>
      <c r="J479" s="213"/>
      <c r="K479" s="213"/>
      <c r="L479" s="213"/>
      <c r="M479" s="213"/>
      <c r="N479" s="213"/>
      <c r="O479" s="213"/>
      <c r="P479" s="213"/>
      <c r="Q479" s="213"/>
      <c r="R479" s="213"/>
    </row>
    <row r="480" spans="1:18" x14ac:dyDescent="0.25">
      <c r="A480" s="213"/>
      <c r="B480" s="213"/>
      <c r="C480" s="213"/>
      <c r="D480" s="213"/>
      <c r="E480" s="213"/>
      <c r="F480" s="213"/>
      <c r="G480" s="213"/>
      <c r="H480" s="213"/>
      <c r="I480" s="213"/>
      <c r="J480" s="213"/>
      <c r="K480" s="213"/>
      <c r="L480" s="213"/>
      <c r="M480" s="213"/>
      <c r="N480" s="213"/>
      <c r="O480" s="213"/>
      <c r="P480" s="213"/>
      <c r="Q480" s="213"/>
      <c r="R480" s="213"/>
    </row>
    <row r="481" spans="1:18" x14ac:dyDescent="0.25">
      <c r="A481" s="213"/>
      <c r="B481" s="213"/>
      <c r="C481" s="213"/>
      <c r="D481" s="213"/>
      <c r="E481" s="213"/>
      <c r="F481" s="213"/>
      <c r="G481" s="213"/>
      <c r="H481" s="213"/>
      <c r="I481" s="213"/>
      <c r="J481" s="213"/>
      <c r="K481" s="213"/>
      <c r="L481" s="213"/>
      <c r="M481" s="213"/>
      <c r="N481" s="213"/>
      <c r="O481" s="213"/>
      <c r="P481" s="213"/>
      <c r="Q481" s="213"/>
      <c r="R481" s="213"/>
    </row>
    <row r="482" spans="1:18" x14ac:dyDescent="0.25">
      <c r="A482" s="213"/>
      <c r="B482" s="213"/>
      <c r="C482" s="213"/>
      <c r="D482" s="213"/>
      <c r="E482" s="213"/>
      <c r="F482" s="213"/>
      <c r="G482" s="213"/>
      <c r="H482" s="213"/>
      <c r="I482" s="213"/>
      <c r="J482" s="213"/>
      <c r="K482" s="213"/>
      <c r="L482" s="213"/>
      <c r="M482" s="213"/>
      <c r="N482" s="213"/>
      <c r="O482" s="213"/>
      <c r="P482" s="213"/>
      <c r="Q482" s="213"/>
      <c r="R482" s="213"/>
    </row>
    <row r="483" spans="1:18" x14ac:dyDescent="0.25">
      <c r="A483" s="213"/>
      <c r="B483" s="213"/>
      <c r="C483" s="213"/>
      <c r="D483" s="213"/>
      <c r="E483" s="213"/>
      <c r="F483" s="213"/>
      <c r="G483" s="213"/>
      <c r="H483" s="213"/>
      <c r="I483" s="213"/>
      <c r="J483" s="213"/>
      <c r="K483" s="213"/>
      <c r="L483" s="213"/>
      <c r="M483" s="213"/>
      <c r="N483" s="213"/>
      <c r="O483" s="213"/>
      <c r="P483" s="213"/>
      <c r="Q483" s="213"/>
      <c r="R483" s="213"/>
    </row>
    <row r="484" spans="1:18" x14ac:dyDescent="0.25">
      <c r="A484" s="213"/>
      <c r="B484" s="213"/>
      <c r="C484" s="213"/>
      <c r="D484" s="213"/>
      <c r="E484" s="213"/>
      <c r="F484" s="213"/>
      <c r="G484" s="213"/>
      <c r="H484" s="213"/>
      <c r="I484" s="213"/>
      <c r="J484" s="213"/>
      <c r="K484" s="213"/>
      <c r="L484" s="213"/>
      <c r="M484" s="213"/>
      <c r="N484" s="213"/>
      <c r="O484" s="213"/>
      <c r="P484" s="213"/>
      <c r="Q484" s="213"/>
      <c r="R484" s="213"/>
    </row>
    <row r="485" spans="1:18" x14ac:dyDescent="0.25">
      <c r="A485" s="213"/>
      <c r="B485" s="213"/>
      <c r="C485" s="213"/>
      <c r="D485" s="213"/>
      <c r="E485" s="213"/>
      <c r="F485" s="213"/>
      <c r="G485" s="213"/>
      <c r="H485" s="213"/>
      <c r="I485" s="213"/>
      <c r="J485" s="213"/>
      <c r="K485" s="213"/>
      <c r="L485" s="213"/>
      <c r="M485" s="213"/>
      <c r="N485" s="213"/>
      <c r="O485" s="213"/>
      <c r="P485" s="213"/>
      <c r="Q485" s="213"/>
      <c r="R485" s="213"/>
    </row>
    <row r="486" spans="1:18" x14ac:dyDescent="0.25">
      <c r="A486" s="213"/>
      <c r="B486" s="213"/>
      <c r="C486" s="213"/>
      <c r="D486" s="213"/>
      <c r="E486" s="213"/>
      <c r="F486" s="213"/>
      <c r="G486" s="213"/>
      <c r="H486" s="213"/>
      <c r="I486" s="213"/>
      <c r="J486" s="213"/>
      <c r="K486" s="213"/>
      <c r="L486" s="213"/>
      <c r="M486" s="213"/>
      <c r="N486" s="213"/>
      <c r="O486" s="213"/>
      <c r="P486" s="213"/>
      <c r="Q486" s="213"/>
      <c r="R486" s="213"/>
    </row>
    <row r="487" spans="1:18" x14ac:dyDescent="0.25">
      <c r="A487" s="213"/>
      <c r="B487" s="213"/>
      <c r="C487" s="213"/>
      <c r="D487" s="213"/>
      <c r="E487" s="213"/>
      <c r="F487" s="213"/>
      <c r="G487" s="213"/>
      <c r="H487" s="213"/>
      <c r="I487" s="213"/>
      <c r="J487" s="213"/>
      <c r="K487" s="213"/>
      <c r="L487" s="213"/>
      <c r="M487" s="213"/>
      <c r="N487" s="213"/>
      <c r="O487" s="213"/>
      <c r="P487" s="213"/>
      <c r="Q487" s="213"/>
      <c r="R487" s="213"/>
    </row>
    <row r="488" spans="1:18" x14ac:dyDescent="0.25">
      <c r="A488" s="213"/>
      <c r="B488" s="213"/>
      <c r="C488" s="213"/>
      <c r="D488" s="213"/>
      <c r="E488" s="213"/>
      <c r="F488" s="213"/>
      <c r="G488" s="213"/>
      <c r="H488" s="213"/>
      <c r="I488" s="213"/>
      <c r="J488" s="213"/>
      <c r="K488" s="213"/>
      <c r="L488" s="213"/>
      <c r="M488" s="213"/>
      <c r="N488" s="213"/>
      <c r="O488" s="213"/>
      <c r="P488" s="213"/>
      <c r="Q488" s="213"/>
      <c r="R488" s="213"/>
    </row>
    <row r="489" spans="1:18" x14ac:dyDescent="0.25">
      <c r="A489" s="213"/>
      <c r="B489" s="213"/>
      <c r="C489" s="213"/>
      <c r="D489" s="213"/>
      <c r="E489" s="213"/>
      <c r="F489" s="213"/>
      <c r="G489" s="213"/>
      <c r="H489" s="213"/>
      <c r="I489" s="213"/>
      <c r="J489" s="213"/>
      <c r="K489" s="213"/>
      <c r="L489" s="213"/>
      <c r="M489" s="213"/>
      <c r="N489" s="213"/>
      <c r="O489" s="213"/>
      <c r="P489" s="213"/>
      <c r="Q489" s="213"/>
      <c r="R489" s="213"/>
    </row>
    <row r="490" spans="1:18" x14ac:dyDescent="0.25">
      <c r="A490" s="213"/>
      <c r="B490" s="213"/>
      <c r="C490" s="213"/>
      <c r="D490" s="213"/>
      <c r="E490" s="213"/>
      <c r="F490" s="213"/>
      <c r="G490" s="213"/>
      <c r="H490" s="213"/>
      <c r="I490" s="213"/>
      <c r="J490" s="213"/>
      <c r="K490" s="213"/>
      <c r="L490" s="213"/>
      <c r="M490" s="213"/>
      <c r="N490" s="213"/>
      <c r="O490" s="213"/>
      <c r="P490" s="213"/>
      <c r="Q490" s="213"/>
      <c r="R490" s="213"/>
    </row>
    <row r="491" spans="1:18" x14ac:dyDescent="0.25">
      <c r="A491" s="213"/>
      <c r="B491" s="213"/>
      <c r="C491" s="213"/>
      <c r="D491" s="213"/>
      <c r="E491" s="213"/>
      <c r="F491" s="213"/>
      <c r="G491" s="213"/>
      <c r="H491" s="213"/>
      <c r="I491" s="213"/>
      <c r="J491" s="213"/>
      <c r="K491" s="213"/>
      <c r="L491" s="213"/>
      <c r="M491" s="213"/>
      <c r="N491" s="213"/>
      <c r="O491" s="213"/>
      <c r="P491" s="213"/>
      <c r="Q491" s="213"/>
      <c r="R491" s="213"/>
    </row>
    <row r="492" spans="1:18" x14ac:dyDescent="0.25">
      <c r="A492" s="213"/>
      <c r="B492" s="213"/>
      <c r="C492" s="213"/>
      <c r="D492" s="213"/>
      <c r="E492" s="213"/>
      <c r="F492" s="213"/>
      <c r="G492" s="213"/>
      <c r="H492" s="213"/>
      <c r="I492" s="213"/>
      <c r="J492" s="213"/>
      <c r="K492" s="213"/>
      <c r="L492" s="213"/>
      <c r="M492" s="213"/>
      <c r="N492" s="213"/>
      <c r="O492" s="213"/>
      <c r="P492" s="213"/>
      <c r="Q492" s="213"/>
      <c r="R492" s="213"/>
    </row>
    <row r="493" spans="1:18" x14ac:dyDescent="0.25">
      <c r="A493" s="213"/>
      <c r="B493" s="213"/>
      <c r="C493" s="213"/>
      <c r="D493" s="213"/>
      <c r="E493" s="213"/>
      <c r="F493" s="213"/>
      <c r="G493" s="213"/>
      <c r="H493" s="213"/>
      <c r="I493" s="213"/>
      <c r="J493" s="213"/>
      <c r="K493" s="213"/>
      <c r="L493" s="213"/>
      <c r="M493" s="213"/>
      <c r="N493" s="213"/>
      <c r="O493" s="213"/>
      <c r="P493" s="213"/>
      <c r="Q493" s="213"/>
      <c r="R493" s="213"/>
    </row>
    <row r="494" spans="1:18" x14ac:dyDescent="0.25">
      <c r="A494" s="213"/>
      <c r="B494" s="213"/>
      <c r="C494" s="213"/>
      <c r="D494" s="213"/>
      <c r="E494" s="213"/>
      <c r="F494" s="213"/>
      <c r="G494" s="213"/>
      <c r="H494" s="213"/>
      <c r="I494" s="213"/>
      <c r="J494" s="213"/>
      <c r="K494" s="213"/>
      <c r="L494" s="213"/>
      <c r="M494" s="213"/>
      <c r="N494" s="213"/>
      <c r="O494" s="213"/>
      <c r="P494" s="213"/>
      <c r="Q494" s="213"/>
      <c r="R494" s="213"/>
    </row>
    <row r="495" spans="1:18" x14ac:dyDescent="0.25">
      <c r="A495" s="213"/>
      <c r="B495" s="213"/>
      <c r="C495" s="213"/>
      <c r="D495" s="213"/>
      <c r="E495" s="213"/>
      <c r="F495" s="213"/>
      <c r="G495" s="213"/>
      <c r="H495" s="213"/>
      <c r="I495" s="213"/>
      <c r="J495" s="213"/>
      <c r="K495" s="213"/>
      <c r="L495" s="213"/>
      <c r="M495" s="213"/>
      <c r="N495" s="213"/>
      <c r="O495" s="213"/>
      <c r="P495" s="213"/>
      <c r="Q495" s="213"/>
      <c r="R495" s="213"/>
    </row>
    <row r="496" spans="1:18" x14ac:dyDescent="0.25">
      <c r="A496" s="213"/>
      <c r="B496" s="213"/>
      <c r="C496" s="213"/>
      <c r="D496" s="213"/>
      <c r="E496" s="213"/>
      <c r="F496" s="213"/>
      <c r="G496" s="213"/>
      <c r="H496" s="213"/>
      <c r="I496" s="213"/>
      <c r="J496" s="213"/>
      <c r="K496" s="213"/>
      <c r="L496" s="213"/>
      <c r="M496" s="213"/>
      <c r="N496" s="213"/>
      <c r="O496" s="213"/>
      <c r="P496" s="213"/>
      <c r="Q496" s="213"/>
      <c r="R496" s="213"/>
    </row>
    <row r="497" spans="1:18" x14ac:dyDescent="0.25">
      <c r="A497" s="213"/>
      <c r="B497" s="213"/>
      <c r="C497" s="213"/>
      <c r="D497" s="213"/>
      <c r="E497" s="213"/>
      <c r="F497" s="213"/>
      <c r="G497" s="213"/>
      <c r="H497" s="213"/>
      <c r="I497" s="213"/>
      <c r="J497" s="213"/>
      <c r="K497" s="213"/>
      <c r="L497" s="213"/>
      <c r="M497" s="213"/>
      <c r="N497" s="213"/>
      <c r="O497" s="213"/>
      <c r="P497" s="213"/>
      <c r="Q497" s="213"/>
      <c r="R497" s="213"/>
    </row>
    <row r="498" spans="1:18" x14ac:dyDescent="0.25">
      <c r="A498" s="213"/>
      <c r="B498" s="213"/>
      <c r="C498" s="213"/>
      <c r="D498" s="213"/>
      <c r="E498" s="213"/>
      <c r="F498" s="213"/>
      <c r="G498" s="213"/>
      <c r="H498" s="213"/>
      <c r="I498" s="213"/>
      <c r="J498" s="213"/>
      <c r="K498" s="213"/>
      <c r="L498" s="213"/>
      <c r="M498" s="213"/>
      <c r="N498" s="213"/>
      <c r="O498" s="213"/>
      <c r="P498" s="213"/>
      <c r="Q498" s="213"/>
      <c r="R498" s="213"/>
    </row>
    <row r="499" spans="1:18" x14ac:dyDescent="0.25">
      <c r="A499" s="213"/>
      <c r="B499" s="213"/>
      <c r="C499" s="213"/>
      <c r="D499" s="213"/>
      <c r="E499" s="213"/>
      <c r="F499" s="213"/>
      <c r="G499" s="213"/>
      <c r="H499" s="213"/>
      <c r="I499" s="213"/>
      <c r="J499" s="213"/>
      <c r="K499" s="213"/>
      <c r="L499" s="213"/>
      <c r="M499" s="213"/>
      <c r="N499" s="213"/>
      <c r="O499" s="213"/>
      <c r="P499" s="213"/>
      <c r="Q499" s="213"/>
      <c r="R499" s="213"/>
    </row>
    <row r="500" spans="1:18" x14ac:dyDescent="0.25">
      <c r="A500" s="213"/>
      <c r="B500" s="213"/>
      <c r="C500" s="213"/>
      <c r="D500" s="213"/>
      <c r="E500" s="213"/>
      <c r="F500" s="213"/>
      <c r="G500" s="213"/>
      <c r="H500" s="213"/>
      <c r="I500" s="213"/>
      <c r="J500" s="213"/>
      <c r="K500" s="213"/>
      <c r="L500" s="213"/>
      <c r="M500" s="213"/>
      <c r="N500" s="213"/>
      <c r="O500" s="213"/>
      <c r="P500" s="213"/>
      <c r="Q500" s="213"/>
      <c r="R500" s="213"/>
    </row>
    <row r="501" spans="1:18" x14ac:dyDescent="0.25">
      <c r="A501" s="213"/>
      <c r="B501" s="213"/>
      <c r="C501" s="213"/>
      <c r="D501" s="213"/>
      <c r="E501" s="213"/>
      <c r="F501" s="213"/>
      <c r="G501" s="213"/>
      <c r="H501" s="213"/>
      <c r="I501" s="213"/>
      <c r="J501" s="213"/>
      <c r="K501" s="213"/>
      <c r="L501" s="213"/>
      <c r="M501" s="213"/>
      <c r="N501" s="213"/>
      <c r="O501" s="213"/>
      <c r="P501" s="213"/>
      <c r="Q501" s="213"/>
      <c r="R501" s="213"/>
    </row>
    <row r="502" spans="1:18" x14ac:dyDescent="0.25">
      <c r="A502" s="213"/>
      <c r="B502" s="213"/>
      <c r="C502" s="213"/>
      <c r="D502" s="213"/>
      <c r="E502" s="213"/>
      <c r="F502" s="213"/>
      <c r="G502" s="213"/>
      <c r="H502" s="213"/>
      <c r="I502" s="213"/>
      <c r="J502" s="213"/>
      <c r="K502" s="213"/>
      <c r="L502" s="213"/>
      <c r="M502" s="213"/>
      <c r="N502" s="213"/>
      <c r="O502" s="213"/>
      <c r="P502" s="213"/>
      <c r="Q502" s="213"/>
      <c r="R502" s="213"/>
    </row>
    <row r="503" spans="1:18" x14ac:dyDescent="0.25">
      <c r="A503" s="213"/>
      <c r="B503" s="213"/>
      <c r="C503" s="213"/>
      <c r="D503" s="213"/>
      <c r="E503" s="213"/>
      <c r="F503" s="213"/>
      <c r="G503" s="213"/>
      <c r="H503" s="213"/>
      <c r="I503" s="213"/>
      <c r="J503" s="213"/>
      <c r="K503" s="213"/>
      <c r="L503" s="213"/>
      <c r="M503" s="213"/>
      <c r="N503" s="213"/>
      <c r="O503" s="213"/>
      <c r="P503" s="213"/>
      <c r="Q503" s="213"/>
      <c r="R503" s="213"/>
    </row>
    <row r="504" spans="1:18" x14ac:dyDescent="0.25">
      <c r="A504" s="213"/>
      <c r="B504" s="213"/>
      <c r="C504" s="213"/>
      <c r="D504" s="213"/>
      <c r="E504" s="213"/>
      <c r="F504" s="213"/>
      <c r="G504" s="213"/>
      <c r="H504" s="213"/>
      <c r="I504" s="213"/>
      <c r="J504" s="213"/>
      <c r="K504" s="213"/>
      <c r="L504" s="213"/>
      <c r="M504" s="213"/>
      <c r="N504" s="213"/>
      <c r="O504" s="213"/>
      <c r="P504" s="213"/>
      <c r="Q504" s="213"/>
      <c r="R504" s="213"/>
    </row>
    <row r="505" spans="1:18" x14ac:dyDescent="0.25">
      <c r="A505" s="213"/>
      <c r="B505" s="213"/>
      <c r="C505" s="213"/>
      <c r="D505" s="213"/>
      <c r="E505" s="213"/>
      <c r="F505" s="213"/>
      <c r="G505" s="213"/>
      <c r="H505" s="213"/>
      <c r="I505" s="213"/>
      <c r="J505" s="213"/>
      <c r="K505" s="213"/>
      <c r="L505" s="213"/>
      <c r="M505" s="213"/>
      <c r="N505" s="213"/>
      <c r="O505" s="213"/>
      <c r="P505" s="213"/>
      <c r="Q505" s="213"/>
      <c r="R505" s="213"/>
    </row>
    <row r="506" spans="1:18" x14ac:dyDescent="0.25">
      <c r="A506" s="213"/>
      <c r="B506" s="213"/>
      <c r="C506" s="213"/>
      <c r="D506" s="213"/>
      <c r="E506" s="213"/>
      <c r="F506" s="213"/>
      <c r="G506" s="213"/>
      <c r="H506" s="213"/>
      <c r="I506" s="213"/>
      <c r="J506" s="213"/>
      <c r="K506" s="213"/>
      <c r="L506" s="213"/>
      <c r="M506" s="213"/>
      <c r="N506" s="213"/>
      <c r="O506" s="213"/>
      <c r="P506" s="213"/>
      <c r="Q506" s="213"/>
      <c r="R506" s="213"/>
    </row>
    <row r="507" spans="1:18" x14ac:dyDescent="0.25">
      <c r="A507" s="213"/>
      <c r="B507" s="213"/>
      <c r="C507" s="213"/>
      <c r="D507" s="213"/>
      <c r="E507" s="213"/>
      <c r="F507" s="213"/>
      <c r="G507" s="213"/>
      <c r="H507" s="213"/>
      <c r="I507" s="213"/>
      <c r="J507" s="213"/>
      <c r="K507" s="213"/>
      <c r="L507" s="213"/>
      <c r="M507" s="213"/>
      <c r="N507" s="213"/>
      <c r="O507" s="213"/>
      <c r="P507" s="213"/>
      <c r="Q507" s="213"/>
      <c r="R507" s="213"/>
    </row>
    <row r="508" spans="1:18" x14ac:dyDescent="0.25">
      <c r="A508" s="213"/>
      <c r="B508" s="213"/>
      <c r="C508" s="213"/>
      <c r="D508" s="213"/>
      <c r="E508" s="213"/>
      <c r="F508" s="213"/>
      <c r="G508" s="213"/>
      <c r="H508" s="213"/>
      <c r="I508" s="213"/>
      <c r="J508" s="213"/>
      <c r="K508" s="213"/>
      <c r="L508" s="213"/>
      <c r="M508" s="213"/>
      <c r="N508" s="213"/>
      <c r="O508" s="213"/>
      <c r="P508" s="213"/>
      <c r="Q508" s="213"/>
      <c r="R508" s="213"/>
    </row>
    <row r="509" spans="1:18" x14ac:dyDescent="0.25">
      <c r="A509" s="213"/>
      <c r="B509" s="213"/>
      <c r="C509" s="213"/>
      <c r="D509" s="213"/>
      <c r="E509" s="213"/>
      <c r="F509" s="213"/>
      <c r="G509" s="213"/>
      <c r="H509" s="213"/>
      <c r="I509" s="213"/>
      <c r="J509" s="213"/>
      <c r="K509" s="213"/>
      <c r="L509" s="213"/>
      <c r="M509" s="213"/>
      <c r="N509" s="213"/>
      <c r="O509" s="213"/>
      <c r="P509" s="213"/>
      <c r="Q509" s="213"/>
      <c r="R509" s="213"/>
    </row>
    <row r="510" spans="1:18" x14ac:dyDescent="0.25">
      <c r="A510" s="213"/>
      <c r="B510" s="213"/>
      <c r="C510" s="213"/>
      <c r="D510" s="213"/>
      <c r="E510" s="213"/>
      <c r="F510" s="213"/>
      <c r="G510" s="213"/>
      <c r="H510" s="213"/>
      <c r="I510" s="213"/>
      <c r="J510" s="213"/>
      <c r="K510" s="213"/>
      <c r="L510" s="213"/>
      <c r="M510" s="213"/>
      <c r="N510" s="213"/>
      <c r="O510" s="213"/>
      <c r="P510" s="213"/>
      <c r="Q510" s="213"/>
      <c r="R510" s="213"/>
    </row>
    <row r="511" spans="1:18" x14ac:dyDescent="0.25">
      <c r="A511" s="213"/>
      <c r="B511" s="213"/>
      <c r="C511" s="213"/>
      <c r="D511" s="213"/>
      <c r="E511" s="213"/>
      <c r="F511" s="213"/>
      <c r="G511" s="213"/>
      <c r="H511" s="213"/>
      <c r="I511" s="213"/>
      <c r="J511" s="213"/>
      <c r="K511" s="213"/>
      <c r="L511" s="213"/>
      <c r="M511" s="213"/>
      <c r="N511" s="213"/>
      <c r="O511" s="213"/>
      <c r="P511" s="213"/>
      <c r="Q511" s="213"/>
      <c r="R511" s="213"/>
    </row>
    <row r="512" spans="1:18" x14ac:dyDescent="0.25">
      <c r="A512" s="213"/>
      <c r="B512" s="213"/>
      <c r="C512" s="213"/>
      <c r="D512" s="213"/>
      <c r="E512" s="213"/>
      <c r="F512" s="213"/>
      <c r="G512" s="213"/>
      <c r="H512" s="213"/>
      <c r="I512" s="213"/>
      <c r="J512" s="213"/>
      <c r="K512" s="213"/>
      <c r="L512" s="213"/>
      <c r="M512" s="213"/>
      <c r="N512" s="213"/>
      <c r="O512" s="213"/>
      <c r="P512" s="213"/>
      <c r="Q512" s="213"/>
      <c r="R512" s="213"/>
    </row>
    <row r="513" spans="1:18" x14ac:dyDescent="0.25">
      <c r="A513" s="213"/>
      <c r="B513" s="213"/>
      <c r="C513" s="213"/>
      <c r="D513" s="213"/>
      <c r="E513" s="213"/>
      <c r="F513" s="213"/>
      <c r="G513" s="213"/>
      <c r="H513" s="213"/>
      <c r="I513" s="213"/>
      <c r="J513" s="213"/>
      <c r="K513" s="213"/>
      <c r="L513" s="213"/>
      <c r="M513" s="213"/>
      <c r="N513" s="213"/>
      <c r="O513" s="213"/>
      <c r="P513" s="213"/>
      <c r="Q513" s="213"/>
      <c r="R513" s="213"/>
    </row>
    <row r="514" spans="1:18" x14ac:dyDescent="0.25">
      <c r="A514" s="213"/>
      <c r="B514" s="213"/>
      <c r="C514" s="213"/>
      <c r="D514" s="213"/>
      <c r="E514" s="213"/>
      <c r="F514" s="213"/>
      <c r="G514" s="213"/>
      <c r="H514" s="213"/>
      <c r="I514" s="213"/>
      <c r="J514" s="213"/>
      <c r="K514" s="213"/>
      <c r="L514" s="213"/>
      <c r="M514" s="213"/>
      <c r="N514" s="213"/>
      <c r="O514" s="213"/>
      <c r="P514" s="213"/>
      <c r="Q514" s="213"/>
      <c r="R514" s="213"/>
    </row>
    <row r="515" spans="1:18" x14ac:dyDescent="0.25">
      <c r="A515" s="213"/>
      <c r="B515" s="213"/>
      <c r="C515" s="213"/>
      <c r="D515" s="213"/>
      <c r="E515" s="213"/>
      <c r="F515" s="213"/>
      <c r="G515" s="213"/>
      <c r="H515" s="213"/>
      <c r="I515" s="213"/>
      <c r="J515" s="213"/>
      <c r="K515" s="213"/>
      <c r="L515" s="213"/>
      <c r="M515" s="213"/>
      <c r="N515" s="213"/>
      <c r="O515" s="213"/>
      <c r="P515" s="213"/>
      <c r="Q515" s="213"/>
      <c r="R515" s="213"/>
    </row>
    <row r="516" spans="1:18" x14ac:dyDescent="0.25">
      <c r="A516" s="213"/>
      <c r="B516" s="213"/>
      <c r="C516" s="213"/>
      <c r="D516" s="213"/>
      <c r="E516" s="213"/>
      <c r="F516" s="213"/>
      <c r="G516" s="213"/>
      <c r="H516" s="213"/>
      <c r="I516" s="213"/>
      <c r="J516" s="213"/>
      <c r="K516" s="213"/>
      <c r="L516" s="213"/>
      <c r="M516" s="213"/>
      <c r="N516" s="213"/>
      <c r="O516" s="213"/>
      <c r="P516" s="213"/>
      <c r="Q516" s="213"/>
      <c r="R516" s="213"/>
    </row>
    <row r="517" spans="1:18" x14ac:dyDescent="0.25">
      <c r="A517" s="213"/>
      <c r="B517" s="213"/>
      <c r="C517" s="213"/>
      <c r="D517" s="213"/>
      <c r="E517" s="213"/>
      <c r="F517" s="213"/>
      <c r="G517" s="213"/>
      <c r="H517" s="213"/>
      <c r="I517" s="213"/>
      <c r="J517" s="213"/>
      <c r="K517" s="213"/>
      <c r="L517" s="213"/>
      <c r="M517" s="213"/>
      <c r="N517" s="213"/>
      <c r="O517" s="213"/>
      <c r="P517" s="213"/>
      <c r="Q517" s="213"/>
      <c r="R517" s="213"/>
    </row>
    <row r="518" spans="1:18" x14ac:dyDescent="0.25">
      <c r="A518" s="213"/>
      <c r="B518" s="213"/>
      <c r="C518" s="213"/>
      <c r="D518" s="213"/>
      <c r="E518" s="213"/>
      <c r="F518" s="213"/>
      <c r="G518" s="213"/>
      <c r="H518" s="213"/>
      <c r="I518" s="213"/>
      <c r="J518" s="213"/>
      <c r="K518" s="213"/>
      <c r="L518" s="213"/>
      <c r="M518" s="213"/>
      <c r="N518" s="213"/>
      <c r="O518" s="213"/>
      <c r="P518" s="213"/>
      <c r="Q518" s="213"/>
      <c r="R518" s="213"/>
    </row>
    <row r="519" spans="1:18" x14ac:dyDescent="0.25">
      <c r="A519" s="213"/>
      <c r="B519" s="213"/>
      <c r="C519" s="213"/>
      <c r="D519" s="213"/>
      <c r="E519" s="213"/>
      <c r="F519" s="213"/>
      <c r="G519" s="213"/>
      <c r="H519" s="213"/>
      <c r="I519" s="213"/>
      <c r="J519" s="213"/>
      <c r="K519" s="213"/>
      <c r="L519" s="213"/>
      <c r="M519" s="213"/>
      <c r="N519" s="213"/>
      <c r="O519" s="213"/>
      <c r="P519" s="213"/>
      <c r="Q519" s="213"/>
      <c r="R519" s="213"/>
    </row>
    <row r="520" spans="1:18" x14ac:dyDescent="0.25">
      <c r="A520" s="213"/>
      <c r="B520" s="213"/>
      <c r="C520" s="213"/>
      <c r="D520" s="213"/>
      <c r="E520" s="213"/>
      <c r="F520" s="213"/>
      <c r="G520" s="213"/>
      <c r="H520" s="213"/>
      <c r="I520" s="213"/>
      <c r="J520" s="213"/>
      <c r="K520" s="213"/>
      <c r="L520" s="213"/>
      <c r="M520" s="213"/>
      <c r="N520" s="213"/>
      <c r="O520" s="213"/>
      <c r="P520" s="213"/>
      <c r="Q520" s="213"/>
      <c r="R520" s="213"/>
    </row>
    <row r="521" spans="1:18" x14ac:dyDescent="0.25">
      <c r="A521" s="213"/>
      <c r="B521" s="213"/>
      <c r="C521" s="213"/>
      <c r="D521" s="213"/>
      <c r="E521" s="213"/>
      <c r="F521" s="213"/>
      <c r="G521" s="213"/>
      <c r="H521" s="213"/>
      <c r="I521" s="213"/>
      <c r="J521" s="213"/>
      <c r="K521" s="213"/>
      <c r="L521" s="213"/>
      <c r="M521" s="213"/>
      <c r="N521" s="213"/>
      <c r="O521" s="213"/>
      <c r="P521" s="213"/>
      <c r="Q521" s="213"/>
      <c r="R521" s="213"/>
    </row>
    <row r="522" spans="1:18" x14ac:dyDescent="0.25">
      <c r="A522" s="213"/>
      <c r="B522" s="213"/>
      <c r="C522" s="213"/>
      <c r="D522" s="213"/>
      <c r="E522" s="213"/>
      <c r="F522" s="213"/>
      <c r="G522" s="213"/>
      <c r="H522" s="213"/>
      <c r="I522" s="213"/>
      <c r="J522" s="213"/>
      <c r="K522" s="213"/>
      <c r="L522" s="213"/>
      <c r="M522" s="213"/>
      <c r="N522" s="213"/>
      <c r="O522" s="213"/>
      <c r="P522" s="213"/>
      <c r="Q522" s="213"/>
      <c r="R522" s="213"/>
    </row>
    <row r="523" spans="1:18" x14ac:dyDescent="0.25">
      <c r="A523" s="213"/>
      <c r="B523" s="213"/>
      <c r="C523" s="213"/>
      <c r="D523" s="213"/>
      <c r="E523" s="213"/>
      <c r="F523" s="213"/>
      <c r="G523" s="213"/>
      <c r="H523" s="213"/>
      <c r="I523" s="213"/>
      <c r="J523" s="213"/>
      <c r="K523" s="213"/>
      <c r="L523" s="213"/>
      <c r="M523" s="213"/>
      <c r="N523" s="213"/>
      <c r="O523" s="213"/>
      <c r="P523" s="213"/>
      <c r="Q523" s="213"/>
      <c r="R523" s="213"/>
    </row>
    <row r="524" spans="1:18" x14ac:dyDescent="0.25">
      <c r="A524" s="213"/>
      <c r="B524" s="213"/>
      <c r="C524" s="213"/>
      <c r="D524" s="213"/>
      <c r="E524" s="213"/>
      <c r="F524" s="213"/>
      <c r="G524" s="213"/>
      <c r="H524" s="213"/>
      <c r="I524" s="213"/>
      <c r="J524" s="213"/>
      <c r="K524" s="213"/>
      <c r="L524" s="213"/>
      <c r="M524" s="213"/>
      <c r="N524" s="213"/>
      <c r="O524" s="213"/>
      <c r="P524" s="213"/>
      <c r="Q524" s="213"/>
      <c r="R524" s="213"/>
    </row>
    <row r="525" spans="1:18" x14ac:dyDescent="0.25">
      <c r="A525" s="213"/>
      <c r="B525" s="213"/>
      <c r="C525" s="213"/>
      <c r="D525" s="213"/>
      <c r="E525" s="213"/>
      <c r="F525" s="213"/>
      <c r="G525" s="213"/>
      <c r="H525" s="213"/>
      <c r="I525" s="213"/>
      <c r="J525" s="213"/>
      <c r="K525" s="213"/>
      <c r="L525" s="213"/>
      <c r="M525" s="213"/>
      <c r="N525" s="213"/>
      <c r="O525" s="213"/>
      <c r="P525" s="213"/>
      <c r="Q525" s="213"/>
      <c r="R525" s="213"/>
    </row>
    <row r="526" spans="1:18" x14ac:dyDescent="0.25">
      <c r="A526" s="213"/>
      <c r="B526" s="213"/>
      <c r="C526" s="213"/>
      <c r="D526" s="213"/>
      <c r="E526" s="213"/>
      <c r="F526" s="213"/>
      <c r="G526" s="213"/>
      <c r="H526" s="213"/>
      <c r="I526" s="213"/>
      <c r="J526" s="213"/>
      <c r="K526" s="213"/>
      <c r="L526" s="213"/>
      <c r="M526" s="213"/>
      <c r="N526" s="213"/>
      <c r="O526" s="213"/>
      <c r="P526" s="213"/>
      <c r="Q526" s="213"/>
      <c r="R526" s="213"/>
    </row>
    <row r="527" spans="1:18" x14ac:dyDescent="0.25">
      <c r="A527" s="213"/>
      <c r="B527" s="213"/>
      <c r="C527" s="213"/>
      <c r="D527" s="213"/>
      <c r="E527" s="213"/>
      <c r="F527" s="213"/>
      <c r="G527" s="213"/>
      <c r="H527" s="213"/>
      <c r="I527" s="213"/>
      <c r="J527" s="213"/>
      <c r="K527" s="213"/>
      <c r="L527" s="213"/>
      <c r="M527" s="213"/>
      <c r="N527" s="213"/>
      <c r="O527" s="213"/>
      <c r="P527" s="213"/>
      <c r="Q527" s="213"/>
      <c r="R527" s="213"/>
    </row>
    <row r="528" spans="1:18" x14ac:dyDescent="0.25">
      <c r="A528" s="213"/>
      <c r="B528" s="213"/>
      <c r="C528" s="213"/>
      <c r="D528" s="213"/>
      <c r="E528" s="213"/>
      <c r="F528" s="213"/>
      <c r="G528" s="213"/>
      <c r="H528" s="213"/>
      <c r="I528" s="213"/>
      <c r="J528" s="213"/>
      <c r="K528" s="213"/>
      <c r="L528" s="213"/>
      <c r="M528" s="213"/>
      <c r="N528" s="213"/>
      <c r="O528" s="213"/>
      <c r="P528" s="213"/>
      <c r="Q528" s="213"/>
      <c r="R528" s="213"/>
    </row>
    <row r="529" spans="1:18" x14ac:dyDescent="0.25">
      <c r="A529" s="213"/>
      <c r="B529" s="213"/>
      <c r="C529" s="213"/>
      <c r="D529" s="213"/>
      <c r="E529" s="213"/>
      <c r="F529" s="213"/>
      <c r="G529" s="213"/>
      <c r="H529" s="213"/>
      <c r="I529" s="213"/>
      <c r="J529" s="213"/>
      <c r="K529" s="213"/>
      <c r="L529" s="213"/>
      <c r="M529" s="213"/>
      <c r="N529" s="213"/>
      <c r="O529" s="213"/>
      <c r="P529" s="213"/>
      <c r="Q529" s="213"/>
      <c r="R529" s="213"/>
    </row>
    <row r="530" spans="1:18" x14ac:dyDescent="0.25">
      <c r="A530" s="213"/>
      <c r="B530" s="213"/>
      <c r="C530" s="213"/>
      <c r="D530" s="213"/>
      <c r="E530" s="213"/>
      <c r="F530" s="213"/>
      <c r="G530" s="213"/>
      <c r="H530" s="213"/>
      <c r="I530" s="213"/>
      <c r="J530" s="213"/>
      <c r="K530" s="213"/>
      <c r="L530" s="213"/>
      <c r="M530" s="213"/>
      <c r="N530" s="213"/>
      <c r="O530" s="213"/>
      <c r="P530" s="213"/>
      <c r="Q530" s="213"/>
      <c r="R530" s="213"/>
    </row>
    <row r="531" spans="1:18" x14ac:dyDescent="0.25">
      <c r="A531" s="213"/>
      <c r="B531" s="213"/>
      <c r="C531" s="213"/>
      <c r="D531" s="213"/>
      <c r="E531" s="213"/>
      <c r="F531" s="213"/>
      <c r="G531" s="213"/>
      <c r="H531" s="213"/>
      <c r="I531" s="213"/>
      <c r="J531" s="213"/>
      <c r="K531" s="213"/>
      <c r="L531" s="213"/>
      <c r="M531" s="213"/>
      <c r="N531" s="213"/>
      <c r="O531" s="213"/>
      <c r="P531" s="213"/>
      <c r="Q531" s="213"/>
      <c r="R531" s="213"/>
    </row>
    <row r="532" spans="1:18" x14ac:dyDescent="0.25">
      <c r="A532" s="213"/>
      <c r="B532" s="213"/>
      <c r="C532" s="213"/>
      <c r="D532" s="213"/>
      <c r="E532" s="213"/>
      <c r="F532" s="213"/>
      <c r="G532" s="213"/>
      <c r="H532" s="213"/>
      <c r="I532" s="213"/>
      <c r="J532" s="213"/>
      <c r="K532" s="213"/>
      <c r="L532" s="213"/>
      <c r="M532" s="213"/>
      <c r="N532" s="213"/>
      <c r="O532" s="213"/>
      <c r="P532" s="213"/>
      <c r="Q532" s="213"/>
      <c r="R532" s="213"/>
    </row>
    <row r="533" spans="1:18" x14ac:dyDescent="0.25">
      <c r="A533" s="213"/>
      <c r="B533" s="213"/>
      <c r="C533" s="213"/>
      <c r="D533" s="213"/>
      <c r="E533" s="213"/>
      <c r="F533" s="213"/>
      <c r="G533" s="213"/>
      <c r="H533" s="213"/>
      <c r="I533" s="213"/>
      <c r="J533" s="213"/>
      <c r="K533" s="213"/>
      <c r="L533" s="213"/>
      <c r="M533" s="213"/>
      <c r="N533" s="213"/>
      <c r="O533" s="213"/>
      <c r="P533" s="213"/>
      <c r="Q533" s="213"/>
      <c r="R533" s="213"/>
    </row>
    <row r="534" spans="1:18" x14ac:dyDescent="0.25">
      <c r="A534" s="213"/>
      <c r="B534" s="213"/>
      <c r="C534" s="213"/>
      <c r="D534" s="213"/>
      <c r="E534" s="213"/>
      <c r="F534" s="213"/>
      <c r="G534" s="213"/>
      <c r="H534" s="213"/>
      <c r="I534" s="213"/>
      <c r="J534" s="213"/>
      <c r="K534" s="213"/>
      <c r="L534" s="213"/>
      <c r="M534" s="213"/>
      <c r="N534" s="213"/>
      <c r="O534" s="213"/>
      <c r="P534" s="213"/>
      <c r="Q534" s="213"/>
      <c r="R534" s="213"/>
    </row>
    <row r="535" spans="1:18" x14ac:dyDescent="0.25">
      <c r="A535" s="213"/>
      <c r="B535" s="213"/>
      <c r="C535" s="213"/>
      <c r="D535" s="213"/>
      <c r="E535" s="213"/>
      <c r="F535" s="213"/>
      <c r="G535" s="213"/>
      <c r="H535" s="213"/>
      <c r="I535" s="213"/>
      <c r="J535" s="213"/>
      <c r="K535" s="213"/>
      <c r="L535" s="213"/>
      <c r="M535" s="213"/>
      <c r="N535" s="213"/>
      <c r="O535" s="213"/>
      <c r="P535" s="213"/>
      <c r="Q535" s="213"/>
      <c r="R535" s="213"/>
    </row>
    <row r="536" spans="1:18" x14ac:dyDescent="0.25">
      <c r="A536" s="213"/>
      <c r="B536" s="213"/>
      <c r="C536" s="213"/>
      <c r="D536" s="213"/>
      <c r="E536" s="213"/>
      <c r="F536" s="213"/>
      <c r="G536" s="213"/>
      <c r="H536" s="213"/>
      <c r="I536" s="213"/>
      <c r="J536" s="213"/>
      <c r="K536" s="213"/>
      <c r="L536" s="213"/>
      <c r="M536" s="213"/>
      <c r="N536" s="213"/>
      <c r="O536" s="213"/>
      <c r="P536" s="213"/>
      <c r="Q536" s="213"/>
      <c r="R536" s="213"/>
    </row>
    <row r="537" spans="1:18" x14ac:dyDescent="0.25">
      <c r="A537" s="213"/>
      <c r="B537" s="213"/>
      <c r="C537" s="213"/>
      <c r="D537" s="213"/>
      <c r="E537" s="213"/>
      <c r="F537" s="213"/>
      <c r="G537" s="213"/>
      <c r="H537" s="213"/>
      <c r="I537" s="213"/>
      <c r="J537" s="213"/>
      <c r="K537" s="213"/>
      <c r="L537" s="213"/>
      <c r="M537" s="213"/>
      <c r="N537" s="213"/>
      <c r="O537" s="213"/>
      <c r="P537" s="213"/>
      <c r="Q537" s="213"/>
      <c r="R537" s="213"/>
    </row>
    <row r="538" spans="1:18" x14ac:dyDescent="0.25">
      <c r="A538" s="213"/>
      <c r="B538" s="213"/>
      <c r="C538" s="213"/>
      <c r="D538" s="213"/>
      <c r="E538" s="213"/>
      <c r="F538" s="213"/>
      <c r="G538" s="213"/>
      <c r="H538" s="213"/>
      <c r="I538" s="213"/>
      <c r="J538" s="213"/>
      <c r="K538" s="213"/>
      <c r="L538" s="213"/>
      <c r="M538" s="213"/>
      <c r="N538" s="213"/>
      <c r="O538" s="213"/>
      <c r="P538" s="213"/>
      <c r="Q538" s="213"/>
      <c r="R538" s="213"/>
    </row>
    <row r="539" spans="1:18" x14ac:dyDescent="0.25">
      <c r="A539" s="213"/>
      <c r="B539" s="213"/>
      <c r="C539" s="213"/>
      <c r="D539" s="213"/>
      <c r="E539" s="213"/>
      <c r="F539" s="213"/>
      <c r="G539" s="213"/>
      <c r="H539" s="213"/>
      <c r="I539" s="213"/>
      <c r="J539" s="213"/>
      <c r="K539" s="213"/>
      <c r="L539" s="213"/>
      <c r="M539" s="213"/>
      <c r="N539" s="213"/>
      <c r="O539" s="213"/>
      <c r="P539" s="213"/>
      <c r="Q539" s="213"/>
      <c r="R539" s="213"/>
    </row>
    <row r="540" spans="1:18" x14ac:dyDescent="0.25">
      <c r="A540" s="213"/>
      <c r="B540" s="213"/>
      <c r="C540" s="213"/>
      <c r="D540" s="213"/>
      <c r="E540" s="213"/>
      <c r="F540" s="213"/>
      <c r="G540" s="213"/>
      <c r="H540" s="213"/>
      <c r="I540" s="213"/>
      <c r="J540" s="213"/>
      <c r="K540" s="213"/>
      <c r="L540" s="213"/>
      <c r="M540" s="213"/>
      <c r="N540" s="213"/>
      <c r="O540" s="213"/>
      <c r="P540" s="213"/>
      <c r="Q540" s="213"/>
      <c r="R540" s="213"/>
    </row>
    <row r="541" spans="1:18" x14ac:dyDescent="0.25">
      <c r="A541" s="213"/>
      <c r="B541" s="213"/>
      <c r="C541" s="213"/>
      <c r="D541" s="213"/>
      <c r="E541" s="213"/>
      <c r="F541" s="213"/>
      <c r="G541" s="213"/>
      <c r="H541" s="213"/>
      <c r="I541" s="213"/>
      <c r="J541" s="213"/>
      <c r="K541" s="213"/>
      <c r="L541" s="213"/>
      <c r="M541" s="213"/>
      <c r="N541" s="213"/>
      <c r="O541" s="213"/>
      <c r="P541" s="213"/>
      <c r="Q541" s="213"/>
      <c r="R541" s="213"/>
    </row>
    <row r="542" spans="1:18" x14ac:dyDescent="0.25">
      <c r="A542" s="213"/>
      <c r="B542" s="213"/>
      <c r="C542" s="213"/>
      <c r="D542" s="213"/>
      <c r="E542" s="213"/>
      <c r="F542" s="213"/>
      <c r="G542" s="213"/>
      <c r="H542" s="213"/>
      <c r="I542" s="213"/>
      <c r="J542" s="213"/>
      <c r="K542" s="213"/>
      <c r="L542" s="213"/>
      <c r="M542" s="213"/>
      <c r="N542" s="213"/>
      <c r="O542" s="213"/>
      <c r="P542" s="213"/>
      <c r="Q542" s="213"/>
      <c r="R542" s="213"/>
    </row>
    <row r="543" spans="1:18" x14ac:dyDescent="0.25">
      <c r="A543" s="213"/>
      <c r="B543" s="213"/>
      <c r="C543" s="213"/>
      <c r="D543" s="213"/>
      <c r="E543" s="213"/>
      <c r="F543" s="213"/>
      <c r="G543" s="213"/>
      <c r="H543" s="213"/>
      <c r="I543" s="213"/>
      <c r="J543" s="213"/>
      <c r="K543" s="213"/>
      <c r="L543" s="213"/>
      <c r="M543" s="213"/>
      <c r="N543" s="213"/>
      <c r="O543" s="213"/>
      <c r="P543" s="213"/>
      <c r="Q543" s="213"/>
      <c r="R543" s="213"/>
    </row>
    <row r="544" spans="1:18" x14ac:dyDescent="0.25">
      <c r="A544" s="213"/>
      <c r="B544" s="213"/>
      <c r="C544" s="213"/>
      <c r="D544" s="213"/>
      <c r="E544" s="213"/>
      <c r="F544" s="213"/>
      <c r="G544" s="213"/>
      <c r="H544" s="213"/>
      <c r="I544" s="213"/>
      <c r="J544" s="213"/>
      <c r="K544" s="213"/>
      <c r="L544" s="213"/>
      <c r="M544" s="213"/>
      <c r="N544" s="213"/>
      <c r="O544" s="213"/>
      <c r="P544" s="213"/>
      <c r="Q544" s="213"/>
      <c r="R544" s="213"/>
    </row>
    <row r="545" spans="1:18" x14ac:dyDescent="0.25">
      <c r="A545" s="213"/>
      <c r="B545" s="213"/>
      <c r="C545" s="213"/>
      <c r="D545" s="213"/>
      <c r="E545" s="213"/>
      <c r="F545" s="213"/>
      <c r="G545" s="213"/>
      <c r="H545" s="213"/>
      <c r="I545" s="213"/>
      <c r="J545" s="213"/>
      <c r="K545" s="213"/>
      <c r="L545" s="213"/>
      <c r="M545" s="213"/>
      <c r="N545" s="213"/>
      <c r="O545" s="213"/>
      <c r="P545" s="213"/>
      <c r="Q545" s="213"/>
      <c r="R545" s="213"/>
    </row>
    <row r="546" spans="1:18" x14ac:dyDescent="0.25">
      <c r="A546" s="213"/>
      <c r="B546" s="213"/>
      <c r="C546" s="213"/>
      <c r="D546" s="213"/>
      <c r="E546" s="213"/>
      <c r="F546" s="213"/>
      <c r="G546" s="213"/>
      <c r="H546" s="213"/>
      <c r="I546" s="213"/>
      <c r="J546" s="213"/>
      <c r="K546" s="213"/>
      <c r="L546" s="213"/>
      <c r="M546" s="213"/>
      <c r="N546" s="213"/>
      <c r="O546" s="213"/>
      <c r="P546" s="213"/>
      <c r="Q546" s="213"/>
      <c r="R546" s="213"/>
    </row>
    <row r="547" spans="1:18" x14ac:dyDescent="0.25">
      <c r="A547" s="213"/>
      <c r="B547" s="213"/>
      <c r="C547" s="213"/>
      <c r="D547" s="213"/>
      <c r="E547" s="213"/>
      <c r="F547" s="213"/>
      <c r="G547" s="213"/>
      <c r="H547" s="213"/>
      <c r="I547" s="213"/>
      <c r="J547" s="213"/>
      <c r="K547" s="213"/>
      <c r="L547" s="213"/>
      <c r="M547" s="213"/>
      <c r="N547" s="213"/>
      <c r="O547" s="213"/>
      <c r="P547" s="213"/>
      <c r="Q547" s="213"/>
      <c r="R547" s="213"/>
    </row>
    <row r="548" spans="1:18" x14ac:dyDescent="0.25">
      <c r="A548" s="213"/>
      <c r="B548" s="213"/>
      <c r="C548" s="213"/>
      <c r="D548" s="213"/>
      <c r="E548" s="213"/>
      <c r="F548" s="213"/>
      <c r="G548" s="213"/>
      <c r="H548" s="213"/>
      <c r="I548" s="213"/>
      <c r="J548" s="213"/>
      <c r="K548" s="213"/>
      <c r="L548" s="213"/>
      <c r="M548" s="213"/>
      <c r="N548" s="213"/>
      <c r="O548" s="213"/>
      <c r="P548" s="213"/>
      <c r="Q548" s="213"/>
      <c r="R548" s="213"/>
    </row>
    <row r="549" spans="1:18" x14ac:dyDescent="0.25">
      <c r="A549" s="213"/>
      <c r="B549" s="213"/>
      <c r="C549" s="213"/>
      <c r="D549" s="213"/>
      <c r="E549" s="213"/>
      <c r="F549" s="213"/>
      <c r="G549" s="213"/>
      <c r="H549" s="213"/>
      <c r="I549" s="213"/>
      <c r="J549" s="213"/>
      <c r="K549" s="213"/>
      <c r="L549" s="213"/>
      <c r="M549" s="213"/>
      <c r="N549" s="213"/>
      <c r="O549" s="213"/>
      <c r="P549" s="213"/>
      <c r="Q549" s="213"/>
      <c r="R549" s="213"/>
    </row>
    <row r="550" spans="1:18" x14ac:dyDescent="0.25">
      <c r="A550" s="213"/>
      <c r="B550" s="213"/>
      <c r="C550" s="213"/>
      <c r="D550" s="213"/>
      <c r="E550" s="213"/>
      <c r="F550" s="213"/>
      <c r="G550" s="213"/>
      <c r="H550" s="213"/>
      <c r="I550" s="213"/>
      <c r="J550" s="213"/>
      <c r="K550" s="213"/>
      <c r="L550" s="213"/>
      <c r="M550" s="213"/>
      <c r="N550" s="213"/>
      <c r="O550" s="213"/>
      <c r="P550" s="213"/>
      <c r="Q550" s="213"/>
      <c r="R550" s="213"/>
    </row>
    <row r="551" spans="1:18" x14ac:dyDescent="0.25">
      <c r="A551" s="213"/>
      <c r="B551" s="213"/>
      <c r="C551" s="213"/>
      <c r="D551" s="213"/>
      <c r="E551" s="213"/>
      <c r="F551" s="213"/>
      <c r="G551" s="213"/>
      <c r="H551" s="213"/>
      <c r="I551" s="213"/>
      <c r="J551" s="213"/>
      <c r="K551" s="213"/>
      <c r="L551" s="213"/>
      <c r="M551" s="213"/>
      <c r="N551" s="213"/>
      <c r="O551" s="213"/>
      <c r="P551" s="213"/>
      <c r="Q551" s="213"/>
      <c r="R551" s="213"/>
    </row>
    <row r="552" spans="1:18" x14ac:dyDescent="0.25">
      <c r="A552" s="213"/>
      <c r="B552" s="213"/>
      <c r="C552" s="213"/>
      <c r="D552" s="213"/>
      <c r="E552" s="213"/>
      <c r="F552" s="213"/>
      <c r="G552" s="213"/>
      <c r="H552" s="213"/>
      <c r="I552" s="213"/>
      <c r="J552" s="213"/>
      <c r="K552" s="213"/>
      <c r="L552" s="213"/>
      <c r="M552" s="213"/>
      <c r="N552" s="213"/>
      <c r="O552" s="213"/>
      <c r="P552" s="213"/>
      <c r="Q552" s="213"/>
      <c r="R552" s="213"/>
    </row>
    <row r="553" spans="1:18" x14ac:dyDescent="0.25">
      <c r="A553" s="213"/>
      <c r="B553" s="213"/>
      <c r="C553" s="213"/>
      <c r="D553" s="213"/>
      <c r="E553" s="213"/>
      <c r="F553" s="213"/>
      <c r="G553" s="213"/>
      <c r="H553" s="213"/>
      <c r="I553" s="213"/>
      <c r="J553" s="213"/>
      <c r="K553" s="213"/>
      <c r="L553" s="213"/>
      <c r="M553" s="213"/>
      <c r="N553" s="213"/>
      <c r="O553" s="213"/>
      <c r="P553" s="213"/>
      <c r="Q553" s="213"/>
      <c r="R553" s="213"/>
    </row>
    <row r="554" spans="1:18" x14ac:dyDescent="0.25">
      <c r="A554" s="213"/>
      <c r="B554" s="213"/>
      <c r="C554" s="213"/>
      <c r="D554" s="213"/>
      <c r="E554" s="213"/>
      <c r="F554" s="213"/>
      <c r="G554" s="213"/>
      <c r="H554" s="213"/>
      <c r="I554" s="213"/>
      <c r="J554" s="213"/>
      <c r="K554" s="213"/>
      <c r="L554" s="213"/>
      <c r="M554" s="213"/>
      <c r="N554" s="213"/>
      <c r="O554" s="213"/>
      <c r="P554" s="213"/>
      <c r="Q554" s="213"/>
      <c r="R554" s="213"/>
    </row>
    <row r="555" spans="1:18" x14ac:dyDescent="0.25">
      <c r="A555" s="213"/>
      <c r="B555" s="213"/>
      <c r="C555" s="213"/>
      <c r="D555" s="213"/>
      <c r="E555" s="213"/>
      <c r="F555" s="213"/>
      <c r="G555" s="213"/>
      <c r="H555" s="213"/>
      <c r="I555" s="213"/>
      <c r="J555" s="213"/>
      <c r="K555" s="213"/>
      <c r="L555" s="213"/>
      <c r="M555" s="213"/>
      <c r="N555" s="213"/>
      <c r="O555" s="213"/>
      <c r="P555" s="213"/>
      <c r="Q555" s="213"/>
      <c r="R555" s="213"/>
    </row>
    <row r="556" spans="1:18" x14ac:dyDescent="0.25">
      <c r="A556" s="213"/>
      <c r="B556" s="213"/>
      <c r="C556" s="213"/>
      <c r="D556" s="213"/>
      <c r="E556" s="213"/>
      <c r="F556" s="213"/>
      <c r="G556" s="213"/>
      <c r="H556" s="213"/>
      <c r="I556" s="213"/>
      <c r="J556" s="213"/>
      <c r="K556" s="213"/>
      <c r="L556" s="213"/>
      <c r="M556" s="213"/>
      <c r="N556" s="213"/>
      <c r="O556" s="213"/>
      <c r="P556" s="213"/>
      <c r="Q556" s="213"/>
      <c r="R556" s="213"/>
    </row>
    <row r="557" spans="1:18" x14ac:dyDescent="0.25">
      <c r="A557" s="213"/>
      <c r="B557" s="213"/>
      <c r="C557" s="213"/>
      <c r="D557" s="213"/>
      <c r="E557" s="213"/>
      <c r="F557" s="213"/>
      <c r="G557" s="213"/>
      <c r="H557" s="213"/>
      <c r="I557" s="213"/>
      <c r="J557" s="213"/>
      <c r="K557" s="213"/>
      <c r="L557" s="213"/>
      <c r="M557" s="213"/>
      <c r="N557" s="213"/>
      <c r="O557" s="213"/>
      <c r="P557" s="213"/>
      <c r="Q557" s="213"/>
      <c r="R557" s="213"/>
    </row>
    <row r="558" spans="1:18" x14ac:dyDescent="0.25">
      <c r="A558" s="213"/>
      <c r="B558" s="213"/>
      <c r="C558" s="213"/>
      <c r="D558" s="213"/>
      <c r="E558" s="213"/>
      <c r="F558" s="213"/>
      <c r="G558" s="213"/>
      <c r="H558" s="213"/>
      <c r="I558" s="213"/>
      <c r="J558" s="213"/>
      <c r="K558" s="213"/>
      <c r="L558" s="213"/>
      <c r="M558" s="213"/>
      <c r="N558" s="213"/>
      <c r="O558" s="213"/>
      <c r="P558" s="213"/>
      <c r="Q558" s="213"/>
      <c r="R558" s="213"/>
    </row>
    <row r="559" spans="1:18" x14ac:dyDescent="0.25">
      <c r="A559" s="213"/>
      <c r="B559" s="213"/>
      <c r="C559" s="213"/>
      <c r="D559" s="213"/>
      <c r="E559" s="213"/>
      <c r="F559" s="213"/>
      <c r="G559" s="213"/>
      <c r="H559" s="213"/>
      <c r="I559" s="213"/>
      <c r="J559" s="213"/>
      <c r="K559" s="213"/>
      <c r="L559" s="213"/>
      <c r="M559" s="213"/>
      <c r="N559" s="213"/>
      <c r="O559" s="213"/>
      <c r="P559" s="213"/>
      <c r="Q559" s="213"/>
      <c r="R559" s="213"/>
    </row>
    <row r="560" spans="1:18" x14ac:dyDescent="0.25">
      <c r="A560" s="213"/>
      <c r="B560" s="213"/>
      <c r="C560" s="213"/>
      <c r="D560" s="213"/>
      <c r="E560" s="213"/>
      <c r="F560" s="213"/>
      <c r="G560" s="213"/>
      <c r="H560" s="213"/>
      <c r="I560" s="213"/>
      <c r="J560" s="213"/>
      <c r="K560" s="213"/>
      <c r="L560" s="213"/>
      <c r="M560" s="213"/>
      <c r="N560" s="213"/>
      <c r="O560" s="213"/>
      <c r="P560" s="213"/>
      <c r="Q560" s="213"/>
      <c r="R560" s="213"/>
    </row>
    <row r="561" spans="1:18" x14ac:dyDescent="0.25">
      <c r="A561" s="213"/>
      <c r="B561" s="213"/>
      <c r="C561" s="213"/>
      <c r="D561" s="213"/>
      <c r="E561" s="213"/>
      <c r="F561" s="213"/>
      <c r="G561" s="213"/>
      <c r="H561" s="213"/>
      <c r="I561" s="213"/>
      <c r="J561" s="213"/>
      <c r="K561" s="213"/>
      <c r="L561" s="213"/>
      <c r="M561" s="213"/>
      <c r="N561" s="213"/>
      <c r="O561" s="213"/>
      <c r="P561" s="213"/>
      <c r="Q561" s="213"/>
      <c r="R561" s="213"/>
    </row>
    <row r="562" spans="1:18" x14ac:dyDescent="0.25">
      <c r="A562" s="213"/>
      <c r="B562" s="213"/>
      <c r="C562" s="213"/>
      <c r="D562" s="213"/>
      <c r="E562" s="213"/>
      <c r="F562" s="213"/>
      <c r="G562" s="213"/>
      <c r="H562" s="213"/>
      <c r="I562" s="213"/>
      <c r="J562" s="213"/>
      <c r="K562" s="213"/>
      <c r="L562" s="213"/>
      <c r="M562" s="213"/>
      <c r="N562" s="213"/>
      <c r="O562" s="213"/>
      <c r="P562" s="213"/>
      <c r="Q562" s="213"/>
      <c r="R562" s="213"/>
    </row>
    <row r="563" spans="1:18" x14ac:dyDescent="0.25">
      <c r="A563" s="213"/>
      <c r="B563" s="213"/>
      <c r="C563" s="213"/>
      <c r="D563" s="213"/>
      <c r="E563" s="213"/>
      <c r="F563" s="213"/>
      <c r="G563" s="213"/>
      <c r="H563" s="213"/>
      <c r="I563" s="213"/>
      <c r="J563" s="213"/>
      <c r="K563" s="213"/>
      <c r="L563" s="213"/>
      <c r="M563" s="213"/>
      <c r="N563" s="213"/>
      <c r="O563" s="213"/>
      <c r="P563" s="213"/>
      <c r="Q563" s="213"/>
      <c r="R563" s="213"/>
    </row>
    <row r="564" spans="1:18" x14ac:dyDescent="0.25">
      <c r="A564" s="213"/>
      <c r="B564" s="213"/>
      <c r="C564" s="213"/>
      <c r="D564" s="213"/>
      <c r="E564" s="213"/>
      <c r="F564" s="213"/>
      <c r="G564" s="213"/>
      <c r="H564" s="213"/>
      <c r="I564" s="213"/>
      <c r="J564" s="213"/>
      <c r="K564" s="213"/>
      <c r="L564" s="213"/>
      <c r="M564" s="213"/>
      <c r="N564" s="213"/>
      <c r="O564" s="213"/>
      <c r="P564" s="213"/>
      <c r="Q564" s="213"/>
      <c r="R564" s="213"/>
    </row>
    <row r="565" spans="1:18" x14ac:dyDescent="0.25">
      <c r="A565" s="213"/>
      <c r="B565" s="213"/>
      <c r="C565" s="213"/>
      <c r="D565" s="213"/>
      <c r="E565" s="213"/>
      <c r="F565" s="213"/>
      <c r="G565" s="213"/>
      <c r="H565" s="213"/>
      <c r="I565" s="213"/>
      <c r="J565" s="213"/>
      <c r="K565" s="213"/>
      <c r="L565" s="213"/>
      <c r="M565" s="213"/>
      <c r="N565" s="213"/>
      <c r="O565" s="213"/>
      <c r="P565" s="213"/>
      <c r="Q565" s="213"/>
      <c r="R565" s="213"/>
    </row>
    <row r="566" spans="1:18" x14ac:dyDescent="0.25">
      <c r="A566" s="213"/>
      <c r="B566" s="213"/>
      <c r="C566" s="213"/>
      <c r="D566" s="213"/>
      <c r="E566" s="213"/>
      <c r="F566" s="213"/>
      <c r="G566" s="213"/>
      <c r="H566" s="213"/>
      <c r="I566" s="213"/>
      <c r="J566" s="213"/>
      <c r="K566" s="213"/>
      <c r="L566" s="213"/>
      <c r="M566" s="213"/>
      <c r="N566" s="213"/>
      <c r="O566" s="213"/>
      <c r="P566" s="213"/>
      <c r="Q566" s="213"/>
      <c r="R566" s="213"/>
    </row>
    <row r="567" spans="1:18" x14ac:dyDescent="0.25">
      <c r="A567" s="213"/>
      <c r="B567" s="213"/>
      <c r="C567" s="213"/>
      <c r="D567" s="213"/>
      <c r="E567" s="213"/>
      <c r="F567" s="213"/>
      <c r="G567" s="213"/>
      <c r="H567" s="213"/>
      <c r="I567" s="213"/>
      <c r="J567" s="213"/>
      <c r="K567" s="213"/>
      <c r="L567" s="213"/>
      <c r="M567" s="213"/>
      <c r="N567" s="213"/>
      <c r="O567" s="213"/>
      <c r="P567" s="213"/>
      <c r="Q567" s="213"/>
      <c r="R567" s="213"/>
    </row>
    <row r="568" spans="1:18" x14ac:dyDescent="0.25">
      <c r="A568" s="213"/>
      <c r="B568" s="213"/>
      <c r="C568" s="213"/>
      <c r="D568" s="213"/>
      <c r="E568" s="213"/>
      <c r="F568" s="213"/>
      <c r="G568" s="213"/>
      <c r="H568" s="213"/>
      <c r="I568" s="213"/>
      <c r="J568" s="213"/>
      <c r="K568" s="213"/>
      <c r="L568" s="213"/>
      <c r="M568" s="213"/>
      <c r="N568" s="213"/>
      <c r="O568" s="213"/>
      <c r="P568" s="213"/>
      <c r="Q568" s="213"/>
      <c r="R568" s="213"/>
    </row>
    <row r="569" spans="1:18" x14ac:dyDescent="0.25">
      <c r="A569" s="213"/>
      <c r="B569" s="213"/>
      <c r="C569" s="213"/>
      <c r="D569" s="213"/>
      <c r="E569" s="213"/>
      <c r="F569" s="213"/>
      <c r="G569" s="213"/>
      <c r="H569" s="213"/>
      <c r="I569" s="213"/>
      <c r="J569" s="213"/>
      <c r="K569" s="213"/>
      <c r="L569" s="213"/>
      <c r="M569" s="213"/>
      <c r="N569" s="213"/>
      <c r="O569" s="213"/>
      <c r="P569" s="213"/>
      <c r="Q569" s="213"/>
      <c r="R569" s="213"/>
    </row>
    <row r="570" spans="1:18" x14ac:dyDescent="0.25">
      <c r="A570" s="213"/>
      <c r="B570" s="213"/>
      <c r="C570" s="213"/>
      <c r="D570" s="213"/>
      <c r="E570" s="213"/>
      <c r="F570" s="213"/>
      <c r="G570" s="213"/>
      <c r="H570" s="213"/>
      <c r="I570" s="213"/>
      <c r="J570" s="213"/>
      <c r="K570" s="213"/>
      <c r="L570" s="213"/>
      <c r="M570" s="213"/>
      <c r="N570" s="213"/>
      <c r="O570" s="213"/>
      <c r="P570" s="213"/>
      <c r="Q570" s="213"/>
      <c r="R570" s="213"/>
    </row>
    <row r="571" spans="1:18" x14ac:dyDescent="0.25">
      <c r="A571" s="213"/>
      <c r="B571" s="213"/>
      <c r="C571" s="213"/>
      <c r="D571" s="213"/>
      <c r="E571" s="213"/>
      <c r="F571" s="213"/>
      <c r="G571" s="213"/>
      <c r="H571" s="213"/>
      <c r="I571" s="213"/>
      <c r="J571" s="213"/>
      <c r="K571" s="213"/>
      <c r="L571" s="213"/>
      <c r="M571" s="213"/>
      <c r="N571" s="213"/>
      <c r="O571" s="213"/>
      <c r="P571" s="213"/>
      <c r="Q571" s="213"/>
      <c r="R571" s="213"/>
    </row>
    <row r="572" spans="1:18" x14ac:dyDescent="0.25">
      <c r="A572" s="213"/>
      <c r="B572" s="213"/>
      <c r="C572" s="213"/>
      <c r="D572" s="213"/>
      <c r="E572" s="213"/>
      <c r="F572" s="213"/>
      <c r="G572" s="213"/>
      <c r="H572" s="213"/>
      <c r="I572" s="213"/>
      <c r="J572" s="213"/>
      <c r="K572" s="213"/>
      <c r="L572" s="213"/>
      <c r="M572" s="213"/>
      <c r="N572" s="213"/>
      <c r="O572" s="213"/>
      <c r="P572" s="213"/>
      <c r="Q572" s="213"/>
      <c r="R572" s="213"/>
    </row>
    <row r="573" spans="1:18" x14ac:dyDescent="0.25">
      <c r="A573" s="213"/>
      <c r="B573" s="213"/>
      <c r="C573" s="213"/>
      <c r="D573" s="213"/>
      <c r="E573" s="213"/>
      <c r="F573" s="213"/>
      <c r="G573" s="213"/>
      <c r="H573" s="213"/>
      <c r="I573" s="213"/>
      <c r="J573" s="213"/>
      <c r="K573" s="213"/>
      <c r="L573" s="213"/>
      <c r="M573" s="213"/>
      <c r="N573" s="213"/>
      <c r="O573" s="213"/>
      <c r="P573" s="213"/>
      <c r="Q573" s="213"/>
      <c r="R573" s="213"/>
    </row>
    <row r="574" spans="1:18" x14ac:dyDescent="0.25">
      <c r="A574" s="213"/>
      <c r="B574" s="213"/>
      <c r="C574" s="213"/>
      <c r="D574" s="213"/>
      <c r="E574" s="213"/>
      <c r="F574" s="213"/>
      <c r="G574" s="213"/>
      <c r="H574" s="213"/>
      <c r="I574" s="213"/>
      <c r="J574" s="213"/>
      <c r="K574" s="213"/>
      <c r="L574" s="213"/>
      <c r="M574" s="213"/>
      <c r="N574" s="213"/>
      <c r="O574" s="213"/>
      <c r="P574" s="213"/>
      <c r="Q574" s="213"/>
      <c r="R574" s="213"/>
    </row>
    <row r="575" spans="1:18" x14ac:dyDescent="0.25">
      <c r="A575" s="213"/>
      <c r="B575" s="213"/>
      <c r="C575" s="213"/>
      <c r="D575" s="213"/>
      <c r="E575" s="213"/>
      <c r="F575" s="213"/>
      <c r="G575" s="213"/>
      <c r="H575" s="213"/>
      <c r="I575" s="213"/>
      <c r="J575" s="213"/>
      <c r="K575" s="213"/>
      <c r="L575" s="213"/>
      <c r="M575" s="213"/>
      <c r="N575" s="213"/>
      <c r="O575" s="213"/>
      <c r="P575" s="213"/>
      <c r="Q575" s="213"/>
      <c r="R575" s="213"/>
    </row>
    <row r="576" spans="1:18" x14ac:dyDescent="0.25">
      <c r="A576" s="213"/>
      <c r="B576" s="213"/>
      <c r="C576" s="213"/>
      <c r="D576" s="213"/>
      <c r="E576" s="213"/>
      <c r="F576" s="213"/>
      <c r="G576" s="213"/>
      <c r="H576" s="213"/>
      <c r="I576" s="213"/>
      <c r="J576" s="213"/>
      <c r="K576" s="213"/>
      <c r="L576" s="213"/>
      <c r="M576" s="213"/>
      <c r="N576" s="213"/>
      <c r="O576" s="213"/>
      <c r="P576" s="213"/>
      <c r="Q576" s="213"/>
      <c r="R576" s="213"/>
    </row>
    <row r="577" spans="1:18" x14ac:dyDescent="0.25">
      <c r="A577" s="213"/>
      <c r="B577" s="213"/>
      <c r="C577" s="213"/>
      <c r="D577" s="213"/>
      <c r="E577" s="213"/>
      <c r="F577" s="213"/>
      <c r="G577" s="213"/>
      <c r="H577" s="213"/>
      <c r="I577" s="213"/>
      <c r="J577" s="213"/>
      <c r="K577" s="213"/>
      <c r="L577" s="213"/>
      <c r="M577" s="213"/>
      <c r="N577" s="213"/>
      <c r="O577" s="213"/>
      <c r="P577" s="213"/>
      <c r="Q577" s="213"/>
      <c r="R577" s="213"/>
    </row>
    <row r="578" spans="1:18" x14ac:dyDescent="0.25">
      <c r="A578" s="213"/>
      <c r="B578" s="213"/>
      <c r="C578" s="213"/>
      <c r="D578" s="213"/>
      <c r="E578" s="213"/>
      <c r="F578" s="213"/>
      <c r="G578" s="213"/>
      <c r="H578" s="213"/>
      <c r="I578" s="213"/>
      <c r="J578" s="213"/>
      <c r="K578" s="213"/>
      <c r="L578" s="213"/>
      <c r="M578" s="213"/>
      <c r="N578" s="213"/>
      <c r="O578" s="213"/>
      <c r="P578" s="213"/>
      <c r="Q578" s="213"/>
      <c r="R578" s="213"/>
    </row>
    <row r="579" spans="1:18" x14ac:dyDescent="0.25">
      <c r="A579" s="213"/>
      <c r="B579" s="213"/>
      <c r="C579" s="213"/>
      <c r="D579" s="213"/>
      <c r="E579" s="213"/>
      <c r="F579" s="213"/>
      <c r="G579" s="213"/>
      <c r="H579" s="213"/>
      <c r="I579" s="213"/>
      <c r="J579" s="213"/>
      <c r="K579" s="213"/>
      <c r="L579" s="213"/>
      <c r="M579" s="213"/>
      <c r="N579" s="213"/>
      <c r="O579" s="213"/>
      <c r="P579" s="213"/>
      <c r="Q579" s="213"/>
      <c r="R579" s="213"/>
    </row>
    <row r="580" spans="1:18" x14ac:dyDescent="0.25">
      <c r="A580" s="213"/>
      <c r="B580" s="213"/>
      <c r="C580" s="213"/>
      <c r="D580" s="213"/>
      <c r="E580" s="213"/>
      <c r="F580" s="213"/>
      <c r="G580" s="213"/>
      <c r="H580" s="213"/>
      <c r="I580" s="213"/>
      <c r="J580" s="213"/>
      <c r="K580" s="213"/>
      <c r="L580" s="213"/>
      <c r="M580" s="213"/>
      <c r="N580" s="213"/>
      <c r="O580" s="213"/>
      <c r="P580" s="213"/>
      <c r="Q580" s="213"/>
      <c r="R580" s="213"/>
    </row>
    <row r="581" spans="1:18" x14ac:dyDescent="0.25">
      <c r="A581" s="213"/>
      <c r="B581" s="213"/>
      <c r="C581" s="213"/>
      <c r="D581" s="213"/>
      <c r="E581" s="213"/>
      <c r="F581" s="213"/>
      <c r="G581" s="213"/>
      <c r="H581" s="213"/>
      <c r="I581" s="213"/>
      <c r="J581" s="213"/>
      <c r="K581" s="213"/>
      <c r="L581" s="213"/>
      <c r="M581" s="213"/>
      <c r="N581" s="213"/>
      <c r="O581" s="213"/>
      <c r="P581" s="213"/>
      <c r="Q581" s="213"/>
      <c r="R581" s="213"/>
    </row>
    <row r="582" spans="1:18" x14ac:dyDescent="0.25">
      <c r="A582" s="213"/>
      <c r="B582" s="213"/>
      <c r="C582" s="213"/>
      <c r="D582" s="213"/>
      <c r="E582" s="213"/>
      <c r="F582" s="213"/>
      <c r="G582" s="213"/>
      <c r="H582" s="213"/>
      <c r="I582" s="213"/>
      <c r="J582" s="213"/>
      <c r="K582" s="213"/>
      <c r="L582" s="213"/>
      <c r="M582" s="213"/>
      <c r="N582" s="213"/>
      <c r="O582" s="213"/>
      <c r="P582" s="213"/>
      <c r="Q582" s="213"/>
      <c r="R582" s="213"/>
    </row>
    <row r="583" spans="1:18" x14ac:dyDescent="0.25">
      <c r="A583" s="213"/>
      <c r="B583" s="213"/>
      <c r="C583" s="213"/>
      <c r="D583" s="213"/>
      <c r="E583" s="213"/>
      <c r="F583" s="213"/>
      <c r="G583" s="213"/>
      <c r="H583" s="213"/>
      <c r="I583" s="213"/>
      <c r="J583" s="213"/>
      <c r="K583" s="213"/>
      <c r="L583" s="213"/>
      <c r="M583" s="213"/>
      <c r="N583" s="213"/>
      <c r="O583" s="213"/>
      <c r="P583" s="213"/>
      <c r="Q583" s="213"/>
      <c r="R583" s="213"/>
    </row>
    <row r="584" spans="1:18" x14ac:dyDescent="0.25">
      <c r="A584" s="213"/>
      <c r="B584" s="213"/>
      <c r="C584" s="213"/>
      <c r="D584" s="213"/>
      <c r="E584" s="213"/>
      <c r="F584" s="213"/>
      <c r="G584" s="213"/>
      <c r="H584" s="213"/>
      <c r="I584" s="213"/>
      <c r="J584" s="213"/>
      <c r="K584" s="213"/>
      <c r="L584" s="213"/>
      <c r="M584" s="213"/>
      <c r="N584" s="213"/>
      <c r="O584" s="213"/>
      <c r="P584" s="213"/>
      <c r="Q584" s="213"/>
      <c r="R584" s="213"/>
    </row>
    <row r="585" spans="1:18" x14ac:dyDescent="0.25">
      <c r="A585" s="213"/>
      <c r="B585" s="213"/>
      <c r="C585" s="213"/>
      <c r="D585" s="213"/>
      <c r="E585" s="213"/>
      <c r="F585" s="213"/>
      <c r="G585" s="213"/>
      <c r="H585" s="213"/>
      <c r="I585" s="213"/>
      <c r="J585" s="213"/>
      <c r="K585" s="213"/>
      <c r="L585" s="213"/>
      <c r="M585" s="213"/>
      <c r="N585" s="213"/>
      <c r="O585" s="213"/>
      <c r="P585" s="213"/>
      <c r="Q585" s="213"/>
      <c r="R585" s="213"/>
    </row>
    <row r="586" spans="1:18" x14ac:dyDescent="0.25">
      <c r="A586" s="213"/>
      <c r="B586" s="213"/>
      <c r="C586" s="213"/>
      <c r="D586" s="213"/>
      <c r="E586" s="213"/>
      <c r="F586" s="213"/>
      <c r="G586" s="213"/>
      <c r="H586" s="213"/>
      <c r="I586" s="213"/>
      <c r="J586" s="213"/>
      <c r="K586" s="213"/>
      <c r="L586" s="213"/>
      <c r="M586" s="213"/>
      <c r="N586" s="213"/>
      <c r="O586" s="213"/>
      <c r="P586" s="213"/>
      <c r="Q586" s="213"/>
      <c r="R586" s="213"/>
    </row>
    <row r="587" spans="1:18" x14ac:dyDescent="0.25">
      <c r="A587" s="213"/>
      <c r="B587" s="213"/>
      <c r="C587" s="213"/>
      <c r="D587" s="213"/>
      <c r="E587" s="213"/>
      <c r="F587" s="213"/>
      <c r="G587" s="213"/>
      <c r="H587" s="213"/>
      <c r="I587" s="213"/>
      <c r="J587" s="213"/>
      <c r="K587" s="213"/>
      <c r="L587" s="213"/>
      <c r="M587" s="213"/>
      <c r="N587" s="213"/>
      <c r="O587" s="213"/>
      <c r="P587" s="213"/>
      <c r="Q587" s="213"/>
      <c r="R587" s="213"/>
    </row>
    <row r="588" spans="1:18" x14ac:dyDescent="0.25">
      <c r="A588" s="213"/>
      <c r="B588" s="213"/>
      <c r="C588" s="213"/>
      <c r="D588" s="213"/>
      <c r="E588" s="213"/>
      <c r="F588" s="213"/>
      <c r="G588" s="213"/>
      <c r="H588" s="213"/>
      <c r="I588" s="213"/>
      <c r="J588" s="213"/>
      <c r="K588" s="213"/>
      <c r="L588" s="213"/>
      <c r="M588" s="213"/>
      <c r="N588" s="213"/>
      <c r="O588" s="213"/>
      <c r="P588" s="213"/>
      <c r="Q588" s="213"/>
      <c r="R588" s="213"/>
    </row>
  </sheetData>
  <mergeCells count="1">
    <mergeCell ref="A1:R58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A109B5C-CD13-47F4-A30C-FEC9374347D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Report Summary</vt:lpstr>
      <vt:lpstr>DCF Model</vt:lpstr>
      <vt:lpstr>Peer &amp; Self Comps</vt:lpstr>
      <vt:lpstr>Financial Analysis</vt:lpstr>
      <vt:lpstr>Important 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Manmeet Singh Hayer</dc:creator>
  <cp:lastModifiedBy>Manmeet Singh Hayer</cp:lastModifiedBy>
  <dcterms:created xsi:type="dcterms:W3CDTF">2025-12-02T22:14:29Z</dcterms:created>
  <dcterms:modified xsi:type="dcterms:W3CDTF">2025-12-11T18:18:39Z</dcterms:modified>
</cp:coreProperties>
</file>